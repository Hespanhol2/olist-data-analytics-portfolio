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5f70f8da8341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 Executivo" sheetId="1" r:id="R3288369a401f4b35"/>
    <x:sheet xmlns:r="http://schemas.openxmlformats.org/officeDocument/2006/relationships" name="KPIs" sheetId="2" r:id="Red679831c7934218"/>
    <x:sheet xmlns:r="http://schemas.openxmlformats.org/officeDocument/2006/relationships" name="Tendência Mensal" sheetId="3" r:id="Ra261b4a2fb044098"/>
    <x:sheet xmlns:r="http://schemas.openxmlformats.org/officeDocument/2006/relationships" name="Drivers Crescimento" sheetId="4" r:id="R0b61ea22a1074887"/>
    <x:sheet xmlns:r="http://schemas.openxmlformats.org/officeDocument/2006/relationships" name="Categorias" sheetId="5" r:id="R8ea0a4d78e614357"/>
    <x:sheet xmlns:r="http://schemas.openxmlformats.org/officeDocument/2006/relationships" name="Segmentos" sheetId="6" r:id="R79ed98a6217040cb"/>
    <x:sheet xmlns:r="http://schemas.openxmlformats.org/officeDocument/2006/relationships" name="Coortes" sheetId="7" r:id="Re4bad9fed88a4c1f"/>
    <x:sheet xmlns:r="http://schemas.openxmlformats.org/officeDocument/2006/relationships" name="Experiência" sheetId="8" r:id="R72e2e97faa5d45fd"/>
    <x:sheet xmlns:r="http://schemas.openxmlformats.org/officeDocument/2006/relationships" name="Estados" sheetId="9" r:id="Re5fe2605b8bf4642"/>
    <x:sheet xmlns:r="http://schemas.openxmlformats.org/officeDocument/2006/relationships" name="Plano CRM" sheetId="10" r:id="R2f91b99dcd6f46b4"/>
    <x:sheet xmlns:r="http://schemas.openxmlformats.org/officeDocument/2006/relationships" name="Dicionário" sheetId="11" r:id="Ra1ad1216c2ef4f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&quot;R$&quot; #,##0"/>
    <x:numFmt numFmtId="201" formatCode="&quot;R$&quot; #,##0.00"/>
    <x:numFmt numFmtId="202" formatCode="0.00"/>
    <x:numFmt numFmtId="203" formatCode="0.0%"/>
    <x:numFmt numFmtId="204" formatCode="0.0"/>
    <x:numFmt numFmtId="205" formatCode="#,##0"/>
  </x:numFmts>
  <x:fonts count="11">
    <x:font>
      <x:sz val="11"/>
      <x:name val="Carlito"/>
    </x:font>
    <x:font>
      <x:sz val="10"/>
      <x:color rgb="FF243447"/>
      <x:name val="Aptos"/>
    </x:font>
    <x:font>
      <x:b/>
      <x:sz val="10"/>
      <x:color rgb="FFFFFFFF"/>
      <x:name val="Aptos"/>
    </x:font>
    <x:font>
      <x:b/>
      <x:sz val="22"/>
      <x:color rgb="FFFFFFFF"/>
      <x:name val="Aptos Display"/>
    </x:font>
    <x:font>
      <x:sz val="10"/>
      <x:color rgb="FF627184"/>
      <x:name val="Aptos"/>
    </x:font>
    <x:font>
      <x:b/>
      <x:sz val="24"/>
      <x:color rgb="FF243447"/>
      <x:name val="Aptos Display"/>
    </x:font>
    <x:font>
      <x:b/>
      <x:sz val="13"/>
      <x:color rgb="FF132238"/>
      <x:name val="Aptos"/>
    </x:font>
    <x:font>
      <x:sz val="2"/>
      <x:color rgb="FFFFFFFF"/>
      <x:name val="Carlito"/>
    </x:font>
    <x:font>
      <x:sz val="12"/>
      <x:color rgb="FFFFFFFF"/>
      <x:name val="Aptos"/>
    </x:font>
    <x:font>
      <x:b/>
      <x:sz val="11"/>
      <x:color rgb="FFFFFFFF"/>
      <x:name val="Carlito"/>
    </x:font>
    <x:font>
      <x:sz val="11"/>
      <x:color rgb="FF24344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32238"/>
      </x:patternFill>
    </x:fill>
    <x:fill>
      <x:patternFill patternType="solid">
        <x:fgColor rgb="FFF7F4EE"/>
      </x:patternFill>
    </x:fill>
    <x:fill>
      <x:patternFill patternType="solid">
        <x:fgColor rgb="FFFFFFFF"/>
      </x:patternFill>
    </x:fill>
    <x:fill>
      <x:patternFill patternType="solid">
        <x:fgColor rgb="FF0F8B8D"/>
      </x:patternFill>
    </x:fill>
    <x:fill>
      <x:patternFill patternType="solid">
        <x:fgColor rgb="FF3A7CA5"/>
      </x:patternFill>
    </x:fill>
    <x:fill>
      <x:patternFill patternType="solid">
        <x:fgColor rgb="FFF4A261"/>
      </x:patternFill>
    </x:fill>
    <x:fill>
      <x:patternFill patternType="solid">
        <x:fgColor rgb="FFD95D39"/>
      </x:patternFill>
    </x:fill>
    <x:fill>
      <x:patternFill patternType="solid">
        <x:fgColor rgb="FFDDF3F1"/>
      </x:patternFill>
    </x:fill>
    <x:fill>
      <x:patternFill patternType="solid">
        <x:fgColor rgb="FFFFF3BF"/>
      </x:patternFill>
    </x:fill>
  </x:fills>
  <x:borders count="17">
    <x:border/>
    <x:border>
      <x:left style="thin">
        <x:color rgb="FFD9E1E8"/>
      </x:left>
      <x:top style="thin">
        <x:color rgb="FFD9E1E8"/>
      </x:top>
    </x:border>
    <x:border>
      <x:top style="thin">
        <x:color rgb="FFD9E1E8"/>
      </x:top>
    </x:border>
    <x:border>
      <x:right style="thin">
        <x:color rgb="FFD9E1E8"/>
      </x:right>
      <x:top style="thin">
        <x:color rgb="FFD9E1E8"/>
      </x:top>
    </x:border>
    <x:border>
      <x:left style="thin">
        <x:color rgb="FFD9E1E8"/>
      </x:left>
    </x:border>
    <x:border>
      <x:right style="thin">
        <x:color rgb="FFD9E1E8"/>
      </x:right>
    </x:border>
    <x:border>
      <x:left style="thin">
        <x:color rgb="FFD9E1E8"/>
      </x:left>
      <x:bottom style="thin">
        <x:color rgb="FFD9E1E8"/>
      </x:bottom>
    </x:border>
    <x:border>
      <x:bottom style="thin">
        <x:color rgb="FFD9E1E8"/>
      </x:bottom>
    </x:border>
    <x:border>
      <x:right style="thin">
        <x:color rgb="FFD9E1E8"/>
      </x:right>
      <x:bottom style="thin">
        <x:color rgb="FFD9E1E8"/>
      </x:bottom>
    </x:border>
    <x:border>
      <x:left style="thin">
        <x:color rgb="FF0F8B8D"/>
      </x:left>
      <x:top style="thin">
        <x:color rgb="FF0F8B8D"/>
      </x:top>
    </x:border>
    <x:border>
      <x:top style="thin">
        <x:color rgb="FF0F8B8D"/>
      </x:top>
    </x:border>
    <x:border>
      <x:right style="thin">
        <x:color rgb="FF0F8B8D"/>
      </x:right>
      <x:top style="thin">
        <x:color rgb="FF0F8B8D"/>
      </x:top>
    </x:border>
    <x:border>
      <x:left style="thin">
        <x:color rgb="FF0F8B8D"/>
      </x:left>
    </x:border>
    <x:border>
      <x:right style="thin">
        <x:color rgb="FF0F8B8D"/>
      </x:right>
    </x:border>
    <x:border>
      <x:left style="thin">
        <x:color rgb="FF0F8B8D"/>
      </x:left>
      <x:bottom style="thin">
        <x:color rgb="FF0F8B8D"/>
      </x:bottom>
    </x:border>
    <x:border>
      <x:bottom style="thin">
        <x:color rgb="FF0F8B8D"/>
      </x:bottom>
    </x:border>
    <x:border>
      <x:right style="thin">
        <x:color rgb="FF0F8B8D"/>
      </x:right>
      <x:bottom style="thin">
        <x:color rgb="FF0F8B8D"/>
      </x:bottom>
    </x:border>
  </x:borders>
  <x:cellStyleXfs count="1">
    <x:xf numFmtId="0" fontId="0" fillId="0" borderId="0"/>
  </x:cellStyleXfs>
  <x:cellXfs count="15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2" fillId="5" borderId="1" xfId="0" applyNumberFormat="1" applyFont="1" applyFill="1" applyBorder="1"/>
    <x:xf numFmtId="0" fontId="2" fillId="5" borderId="2" xfId="0" applyNumberFormat="1" applyFont="1" applyFill="1" applyBorder="1"/>
    <x:xf numFmtId="0" fontId="2" fillId="5" borderId="3" xfId="0" applyNumberFormat="1" applyFont="1" applyFill="1" applyBorder="1"/>
    <x:xf numFmtId="0" fontId="2" fillId="5" borderId="1" xfId="0" applyNumberFormat="1" applyFont="1" applyFill="1" applyBorder="1" applyAlignment="1">
      <x:alignment vertical="center"/>
    </x:xf>
    <x:xf numFmtId="0" fontId="2" fillId="5" borderId="2" xfId="0" applyNumberFormat="1" applyFont="1" applyFill="1" applyBorder="1" applyAlignment="1">
      <x:alignment vertical="center"/>
    </x:xf>
    <x:xf numFmtId="0" fontId="2" fillId="5" borderId="3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/>
    <x:xf numFmtId="0" fontId="5" fillId="4" borderId="0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0" fontId="5" fillId="4" borderId="8" xfId="0" applyNumberFormat="1" applyFont="1" applyFill="1" applyBorder="1"/>
    <x:xf numFmtId="0" fontId="5" fillId="4" borderId="4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0" fontId="5" fillId="4" borderId="6" xfId="0" applyNumberFormat="1" applyFont="1" applyFill="1" applyBorder="1" applyAlignment="1">
      <x:alignment horizontal="center"/>
    </x:xf>
    <x:xf numFmtId="0" fontId="5" fillId="4" borderId="7" xfId="0" applyNumberFormat="1" applyFont="1" applyFill="1" applyBorder="1" applyAlignment="1">
      <x:alignment horizontal="center"/>
    </x:xf>
    <x:xf numFmtId="0" fontId="5" fillId="4" borderId="8" xfId="0" applyNumberFormat="1" applyFont="1" applyFill="1" applyBorder="1" applyAlignment="1">
      <x:alignment horizontal="center"/>
    </x:xf>
    <x:xf numFmtId="0" fontId="5" fillId="4" borderId="4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4" borderId="5" xfId="0" applyNumberFormat="1" applyFont="1" applyFill="1" applyBorder="1" applyAlignment="1">
      <x:alignment horizontal="center" vertical="center"/>
    </x:xf>
    <x:xf numFmtId="0" fontId="5" fillId="4" borderId="6" xfId="0" applyNumberFormat="1" applyFont="1" applyFill="1" applyBorder="1" applyAlignment="1">
      <x:alignment horizontal="center" vertical="center"/>
    </x:xf>
    <x:xf numFmtId="0" fontId="5" fillId="4" borderId="7" xfId="0" applyNumberFormat="1" applyFont="1" applyFill="1" applyBorder="1" applyAlignment="1">
      <x:alignment horizontal="center" vertical="center"/>
    </x:xf>
    <x:xf numFmtId="0" fontId="5" fillId="4" borderId="8" xfId="0" applyNumberFormat="1" applyFont="1" applyFill="1" applyBorder="1" applyAlignment="1">
      <x:alignment horizontal="center" vertical="center"/>
    </x:xf>
    <x:xf numFmtId="202" fontId="5" fillId="4" borderId="4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2" fillId="6" borderId="1" xfId="0" applyNumberFormat="1" applyFont="1" applyFill="1" applyBorder="1"/>
    <x:xf numFmtId="0" fontId="2" fillId="6" borderId="2" xfId="0" applyNumberFormat="1" applyFont="1" applyFill="1" applyBorder="1"/>
    <x:xf numFmtId="0" fontId="2" fillId="6" borderId="3" xfId="0" applyNumberFormat="1" applyFont="1" applyFill="1" applyBorder="1"/>
    <x:xf numFmtId="0" fontId="2" fillId="6" borderId="1" xfId="0" applyNumberFormat="1" applyFont="1" applyFill="1" applyBorder="1" applyAlignment="1">
      <x:alignment vertical="center"/>
    </x:xf>
    <x:xf numFmtId="0" fontId="2" fillId="6" borderId="2" xfId="0" applyNumberFormat="1" applyFont="1" applyFill="1" applyBorder="1" applyAlignment="1">
      <x:alignment vertical="center"/>
    </x:xf>
    <x:xf numFmtId="0" fontId="2" fillId="6" borderId="3" xfId="0" applyNumberFormat="1" applyFont="1" applyFill="1" applyBorder="1" applyAlignment="1">
      <x:alignment vertical="center"/>
    </x:xf>
    <x:xf numFmtId="204" fontId="5" fillId="4" borderId="4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0" fillId="7" borderId="2" xfId="0" applyNumberFormat="1" applyFont="1" applyFill="1" applyBorder="1"/>
    <x:xf numFmtId="0" fontId="0" fillId="7" borderId="3" xfId="0" applyNumberFormat="1" applyFont="1" applyFill="1" applyBorder="1"/>
    <x:xf numFmtId="0" fontId="2" fillId="7" borderId="1" xfId="0" applyNumberFormat="1" applyFont="1" applyFill="1" applyBorder="1"/>
    <x:xf numFmtId="0" fontId="2" fillId="7" borderId="2" xfId="0" applyNumberFormat="1" applyFont="1" applyFill="1" applyBorder="1"/>
    <x:xf numFmtId="0" fontId="2" fillId="7" borderId="3" xfId="0" applyNumberFormat="1" applyFont="1" applyFill="1" applyBorder="1"/>
    <x:xf numFmtId="0" fontId="2" fillId="7" borderId="1" xfId="0" applyNumberFormat="1" applyFont="1" applyFill="1" applyBorder="1" applyAlignment="1">
      <x:alignment vertical="center"/>
    </x:xf>
    <x:xf numFmtId="0" fontId="2" fillId="7" borderId="2" xfId="0" applyNumberFormat="1" applyFont="1" applyFill="1" applyBorder="1" applyAlignment="1">
      <x:alignment vertical="center"/>
    </x:xf>
    <x:xf numFmtId="0" fontId="2" fillId="7" borderId="3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/>
    <x:xf numFmtId="0" fontId="0" fillId="8" borderId="2" xfId="0" applyNumberFormat="1" applyFont="1" applyFill="1" applyBorder="1"/>
    <x:xf numFmtId="0" fontId="0" fillId="8" borderId="3" xfId="0" applyNumberFormat="1" applyFont="1" applyFill="1" applyBorder="1"/>
    <x:xf numFmtId="0" fontId="2" fillId="8" borderId="1" xfId="0" applyNumberFormat="1" applyFont="1" applyFill="1" applyBorder="1"/>
    <x:xf numFmtId="0" fontId="2" fillId="8" borderId="2" xfId="0" applyNumberFormat="1" applyFont="1" applyFill="1" applyBorder="1"/>
    <x:xf numFmtId="0" fontId="2" fillId="8" borderId="3" xfId="0" applyNumberFormat="1" applyFont="1" applyFill="1" applyBorder="1"/>
    <x:xf numFmtId="0" fontId="2" fillId="8" borderId="1" xfId="0" applyNumberFormat="1" applyFont="1" applyFill="1" applyBorder="1" applyAlignment="1">
      <x:alignment vertical="center"/>
    </x:xf>
    <x:xf numFmtId="0" fontId="2" fillId="8" borderId="2" xfId="0" applyNumberFormat="1" applyFont="1" applyFill="1" applyBorder="1" applyAlignment="1">
      <x:alignment vertical="center"/>
    </x:xf>
    <x:xf numFmtId="0" fontId="2" fillId="8" borderId="3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9" xfId="0" applyNumberFormat="1" applyFont="1" applyFill="1" applyBorder="1"/>
    <x:xf numFmtId="0" fontId="6" fillId="9" borderId="10" xfId="0" applyNumberFormat="1" applyFont="1" applyFill="1" applyBorder="1"/>
    <x:xf numFmtId="0" fontId="6" fillId="9" borderId="11" xfId="0" applyNumberFormat="1" applyFont="1" applyFill="1" applyBorder="1"/>
    <x:xf numFmtId="0" fontId="6" fillId="9" borderId="12" xfId="0" applyNumberFormat="1" applyFont="1" applyFill="1" applyBorder="1"/>
    <x:xf numFmtId="0" fontId="6" fillId="9" borderId="13" xfId="0" applyNumberFormat="1" applyFont="1" applyFill="1" applyBorder="1"/>
    <x:xf numFmtId="0" fontId="6" fillId="9" borderId="14" xfId="0" applyNumberFormat="1" applyFont="1" applyFill="1" applyBorder="1"/>
    <x:xf numFmtId="0" fontId="6" fillId="9" borderId="15" xfId="0" applyNumberFormat="1" applyFont="1" applyFill="1" applyBorder="1"/>
    <x:xf numFmtId="0" fontId="6" fillId="9" borderId="16" xfId="0" applyNumberFormat="1" applyFont="1" applyFill="1" applyBorder="1"/>
    <x:xf numFmtId="0" fontId="6" fillId="9" borderId="9" xfId="0" applyNumberFormat="1" applyFont="1" applyFill="1" applyBorder="1" applyAlignment="1">
      <x:alignment wrapText="1"/>
    </x:xf>
    <x:xf numFmtId="0" fontId="6" fillId="9" borderId="10" xfId="0" applyNumberFormat="1" applyFont="1" applyFill="1" applyBorder="1" applyAlignment="1">
      <x:alignment wrapText="1"/>
    </x:xf>
    <x:xf numFmtId="0" fontId="6" fillId="9" borderId="11" xfId="0" applyNumberFormat="1" applyFont="1" applyFill="1" applyBorder="1" applyAlignment="1">
      <x:alignment wrapText="1"/>
    </x:xf>
    <x:xf numFmtId="0" fontId="6" fillId="9" borderId="12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wrapText="1"/>
    </x:xf>
    <x:xf numFmtId="0" fontId="6" fillId="9" borderId="13" xfId="0" applyNumberFormat="1" applyFont="1" applyFill="1" applyBorder="1" applyAlignment="1">
      <x:alignment wrapText="1"/>
    </x:xf>
    <x:xf numFmtId="0" fontId="6" fillId="9" borderId="14" xfId="0" applyNumberFormat="1" applyFont="1" applyFill="1" applyBorder="1" applyAlignment="1">
      <x:alignment wrapText="1"/>
    </x:xf>
    <x:xf numFmtId="0" fontId="6" fillId="9" borderId="15" xfId="0" applyNumberFormat="1" applyFont="1" applyFill="1" applyBorder="1" applyAlignment="1">
      <x:alignment wrapText="1"/>
    </x:xf>
    <x:xf numFmtId="0" fontId="6" fillId="9" borderId="16" xfId="0" applyNumberFormat="1" applyFont="1" applyFill="1" applyBorder="1" applyAlignment="1">
      <x:alignment wrapText="1"/>
    </x:xf>
    <x:xf numFmtId="0" fontId="6" fillId="9" borderId="9" xfId="0" applyNumberFormat="1" applyFont="1" applyFill="1" applyBorder="1" applyAlignment="1">
      <x:alignment vertical="center" wrapText="1"/>
    </x:xf>
    <x:xf numFmtId="0" fontId="6" fillId="9" borderId="10" xfId="0" applyNumberFormat="1" applyFont="1" applyFill="1" applyBorder="1" applyAlignment="1">
      <x:alignment vertical="center" wrapText="1"/>
    </x:xf>
    <x:xf numFmtId="0" fontId="6" fillId="9" borderId="11" xfId="0" applyNumberFormat="1" applyFont="1" applyFill="1" applyBorder="1" applyAlignment="1">
      <x:alignment vertical="center" wrapText="1"/>
    </x:xf>
    <x:xf numFmtId="0" fontId="6" fillId="9" borderId="12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 applyAlignment="1">
      <x:alignment vertical="center" wrapText="1"/>
    </x:xf>
    <x:xf numFmtId="0" fontId="6" fillId="9" borderId="13" xfId="0" applyNumberFormat="1" applyFont="1" applyFill="1" applyBorder="1" applyAlignment="1">
      <x:alignment vertical="center" wrapText="1"/>
    </x:xf>
    <x:xf numFmtId="0" fontId="6" fillId="9" borderId="14" xfId="0" applyNumberFormat="1" applyFont="1" applyFill="1" applyBorder="1" applyAlignment="1">
      <x:alignment vertical="center" wrapText="1"/>
    </x:xf>
    <x:xf numFmtId="0" fontId="6" fillId="9" borderId="15" xfId="0" applyNumberFormat="1" applyFont="1" applyFill="1" applyBorder="1" applyAlignment="1">
      <x:alignment vertical="center" wrapText="1"/>
    </x:xf>
    <x:xf numFmtId="0" fontId="6" fillId="9" borderId="16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0" fillId="10" borderId="0" xfId="0" applyNumberFormat="1" applyFont="1" applyFill="1" applyBorder="1"/>
    <x:xf numFmtId="203" fontId="0" fillId="10" borderId="0" xfId="0" applyNumberFormat="1" applyFont="1" applyFill="1" applyBorder="1"/>
    <x:xf numFmtId="205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200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9" xfId="0" applyNumberFormat="1" applyFont="1" applyFill="1" applyBorder="1"/>
    <x:xf numFmtId="0" fontId="10" fillId="9" borderId="10" xfId="0" applyNumberFormat="1" applyFont="1" applyFill="1" applyBorder="1"/>
    <x:xf numFmtId="0" fontId="10" fillId="9" borderId="11" xfId="0" applyNumberFormat="1" applyFont="1" applyFill="1" applyBorder="1"/>
    <x:xf numFmtId="0" fontId="10" fillId="9" borderId="12" xfId="0" applyNumberFormat="1" applyFont="1" applyFill="1" applyBorder="1"/>
    <x:xf numFmtId="0" fontId="10" fillId="9" borderId="13" xfId="0" applyNumberFormat="1" applyFont="1" applyFill="1" applyBorder="1"/>
    <x:xf numFmtId="0" fontId="10" fillId="9" borderId="14" xfId="0" applyNumberFormat="1" applyFont="1" applyFill="1" applyBorder="1"/>
    <x:xf numFmtId="0" fontId="10" fillId="9" borderId="15" xfId="0" applyNumberFormat="1" applyFont="1" applyFill="1" applyBorder="1"/>
    <x:xf numFmtId="0" fontId="10" fillId="9" borderId="16" xfId="0" applyNumberFormat="1" applyFont="1" applyFill="1" applyBorder="1"/>
    <x:xf numFmtId="0" fontId="10" fillId="9" borderId="9" xfId="0" applyNumberFormat="1" applyFont="1" applyFill="1" applyBorder="1" applyAlignment="1">
      <x:alignment wrapText="1"/>
    </x:xf>
    <x:xf numFmtId="0" fontId="10" fillId="9" borderId="10" xfId="0" applyNumberFormat="1" applyFont="1" applyFill="1" applyBorder="1" applyAlignment="1">
      <x:alignment wrapText="1"/>
    </x:xf>
    <x:xf numFmtId="0" fontId="10" fillId="9" borderId="11" xfId="0" applyNumberFormat="1" applyFont="1" applyFill="1" applyBorder="1" applyAlignment="1">
      <x:alignment wrapText="1"/>
    </x:xf>
    <x:xf numFmtId="0" fontId="10" fillId="9" borderId="12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wrapText="1"/>
    </x:xf>
    <x:xf numFmtId="0" fontId="10" fillId="9" borderId="13" xfId="0" applyNumberFormat="1" applyFont="1" applyFill="1" applyBorder="1" applyAlignment="1">
      <x:alignment wrapText="1"/>
    </x:xf>
    <x:xf numFmtId="0" fontId="10" fillId="9" borderId="14" xfId="0" applyNumberFormat="1" applyFont="1" applyFill="1" applyBorder="1" applyAlignment="1">
      <x:alignment wrapText="1"/>
    </x:xf>
    <x:xf numFmtId="0" fontId="10" fillId="9" borderId="15" xfId="0" applyNumberFormat="1" applyFont="1" applyFill="1" applyBorder="1" applyAlignment="1">
      <x:alignment wrapText="1"/>
    </x:xf>
    <x:xf numFmtId="0" fontId="10" fillId="9" borderId="16" xfId="0" applyNumberFormat="1" applyFont="1" applyFill="1" applyBorder="1" applyAlignment="1">
      <x:alignment wrapText="1"/>
    </x:xf>
    <x:xf numFmtId="0" fontId="10" fillId="9" borderId="9" xfId="0" applyNumberFormat="1" applyFont="1" applyFill="1" applyBorder="1" applyAlignment="1">
      <x:alignment vertical="center" wrapText="1"/>
    </x:xf>
    <x:xf numFmtId="0" fontId="10" fillId="9" borderId="10" xfId="0" applyNumberFormat="1" applyFont="1" applyFill="1" applyBorder="1" applyAlignment="1">
      <x:alignment vertical="center" wrapText="1"/>
    </x:xf>
    <x:xf numFmtId="0" fontId="10" fillId="9" borderId="11" xfId="0" applyNumberFormat="1" applyFont="1" applyFill="1" applyBorder="1" applyAlignment="1">
      <x:alignment vertical="center" wrapText="1"/>
    </x:xf>
    <x:xf numFmtId="0" fontId="10" fillId="9" borderId="12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 applyAlignment="1">
      <x:alignment vertical="center" wrapText="1"/>
    </x:xf>
    <x:xf numFmtId="0" fontId="10" fillId="9" borderId="13" xfId="0" applyNumberFormat="1" applyFont="1" applyFill="1" applyBorder="1" applyAlignment="1">
      <x:alignment vertical="center" wrapText="1"/>
    </x:xf>
    <x:xf numFmtId="0" fontId="10" fillId="9" borderId="14" xfId="0" applyNumberFormat="1" applyFont="1" applyFill="1" applyBorder="1" applyAlignment="1">
      <x:alignment vertical="center" wrapText="1"/>
    </x:xf>
    <x:xf numFmtId="0" fontId="10" fillId="9" borderId="15" xfId="0" applyNumberFormat="1" applyFont="1" applyFill="1" applyBorder="1" applyAlignment="1">
      <x:alignment vertical="center" wrapText="1"/>
    </x:xf>
    <x:xf numFmtId="0" fontId="10" fillId="9" borderId="16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c7837e269a4b8d" /><Relationship Type="http://schemas.openxmlformats.org/officeDocument/2006/relationships/theme" Target="/xl/theme/theme1.xml" Id="Rb38009e2fdd6473a" /><Relationship Type="http://schemas.openxmlformats.org/officeDocument/2006/relationships/sharedStrings" Target="/xl/sharedStrings.xml" Id="Ra52bf2588ae64e41" /><Relationship Type="http://schemas.openxmlformats.org/officeDocument/2006/relationships/worksheet" Target="/xl/worksheets/sheet1.xml" Id="R3288369a401f4b35" /><Relationship Type="http://schemas.openxmlformats.org/officeDocument/2006/relationships/worksheet" Target="/xl/worksheets/sheet2.xml" Id="Red679831c7934218" /><Relationship Type="http://schemas.openxmlformats.org/officeDocument/2006/relationships/worksheet" Target="/xl/worksheets/sheet3.xml" Id="Ra261b4a2fb044098" /><Relationship Type="http://schemas.openxmlformats.org/officeDocument/2006/relationships/worksheet" Target="/xl/worksheets/sheet4.xml" Id="R0b61ea22a1074887" /><Relationship Type="http://schemas.openxmlformats.org/officeDocument/2006/relationships/worksheet" Target="/xl/worksheets/sheet5.xml" Id="R8ea0a4d78e614357" /><Relationship Type="http://schemas.openxmlformats.org/officeDocument/2006/relationships/worksheet" Target="/xl/worksheets/sheet6.xml" Id="R79ed98a6217040cb" /><Relationship Type="http://schemas.openxmlformats.org/officeDocument/2006/relationships/worksheet" Target="/xl/worksheets/sheet7.xml" Id="Re4bad9fed88a4c1f" /><Relationship Type="http://schemas.openxmlformats.org/officeDocument/2006/relationships/worksheet" Target="/xl/worksheets/sheet8.xml" Id="R72e2e97faa5d45fd" /><Relationship Type="http://schemas.openxmlformats.org/officeDocument/2006/relationships/worksheet" Target="/xl/worksheets/sheet9.xml" Id="Re5fe2605b8bf4642" /><Relationship Type="http://schemas.openxmlformats.org/officeDocument/2006/relationships/worksheet" Target="/xl/worksheets/sheet10.xml" Id="R2f91b99dcd6f46b4" /><Relationship Type="http://schemas.openxmlformats.org/officeDocument/2006/relationships/worksheet" Target="/xl/worksheets/sheet11.xml" Id="Ra1ad1216c2ef4f9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1c4a171120e4a58" /><Relationship Type="http://schemas.openxmlformats.org/officeDocument/2006/relationships/chart" Target="/xl/drawings/charts/chart2.xml" Id="Rfed46730f430431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GMV mensal — escala acelerada, com volatilidade operacional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GMV</c:v>
          </c:tx>
          <c:marker>
            <c:symbol val="none"/>
          </c:marker>
          <c:cat>
            <c:strRef>
              <c:f>'Resumo Executivo'!$N$2:$N$21</c:f>
              <c:strCache>
                <c:ptCount val="0"/>
              </c:strCache>
            </c:strRef>
          </c:cat>
          <c:val>
            <c:numRef>
              <c:f>'Resumo Executivo'!$O$2:$O$21</c:f>
              <c:numCache>
                <c:formatCode>"R$" #,##0,," mi"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$&quot; #,##0,,&quot; mi&quot;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5 categorias por contribuição ao crescimento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Crescimento absoluto</c:v>
          </c:tx>
          <c:cat>
            <c:strRef>
              <c:f>'Resumo Executivo'!$Q$2:$Q$6</c:f>
              <c:strCache>
                <c:ptCount val="0"/>
              </c:strCache>
            </c:strRef>
          </c:cat>
          <c:val>
            <c:numRef>
              <c:f>'Resumo Executivo'!$R$2:$R$6</c:f>
              <c:numCache>
                <c:formatCode>"R$" #,##0," mil"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$&quot; #,##0,&quot; mil&quot;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c4a171120e4a58"/>
        </a:graphicData>
      </a:graphic>
    </xdr:graphicFrame>
    <xdr:clientData/>
  </xdr:twoCellAnchor>
  <xdr:twoCellAnchor>
    <xdr:from>
      <xdr:col>7</xdr:col>
      <xdr:colOff>0</xdr:colOff>
      <xdr:row>13</xdr:row>
      <xdr:rowOff>0</xdr:rowOff>
    </xdr:from>
    <xdr:to>
      <xdr:col>13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d46730f430431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KpiTable" displayName="KpiTable" ref="A1:D8" headerRowCount="1" totalsRowCount="0" totalsRowShown="0">
  <x:tableColumns count="4">
    <x:tableColumn id="1" name="﻿metric"/>
    <x:tableColumn id="2" name="value_2017"/>
    <x:tableColumn id="3" name="value_2018"/>
    <x:tableColumn id="4" name="vari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nthlyTable" displayName="MonthlyTable" ref="A1:L21" headerRowCount="1" totalsRowCount="0" totalsRowShown="0">
  <x:tableColumns count="12">
    <x:tableColumn id="1" name="﻿purchase_month"/>
    <x:tableColumn id="2" name="gmv"/>
    <x:tableColumn id="3" name="orders"/>
    <x:tableColumn id="4" name="customers"/>
    <x:tableColumn id="5" name="average_order_value"/>
    <x:tableColumn id="6" name="items_per_order"/>
    <x:tableColumn id="7" name="on_time_rate"/>
    <x:tableColumn id="8" name="average_review"/>
    <x:tableColumn id="9" name="repeat_order_share"/>
    <x:tableColumn id="10" name="gmv_mom"/>
    <x:tableColumn id="11" name="orders_mom"/>
    <x:tableColumn id="12" name="aov_mo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riversTable" displayName="DriversTable" ref="A1:C3" headerRowCount="1" totalsRowCount="0" totalsRowShown="0">
  <x:tableColumns count="3">
    <x:tableColumn id="1" name="﻿driver"/>
    <x:tableColumn id="2" name="impact"/>
    <x:tableColumn id="3" name="contribution_to_growth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tegoriesTable" displayName="CategoriesTable" ref="A1:F75" headerRowCount="1" totalsRowCount="0" totalsRowShown="0">
  <x:tableColumns count="6">
    <x:tableColumn id="1" name="﻿product_category"/>
    <x:tableColumn id="2" name="gmv_2017"/>
    <x:tableColumn id="3" name="gmv_2018"/>
    <x:tableColumn id="4" name="absolute_growth"/>
    <x:tableColumn id="5" name="growth_rate"/>
    <x:tableColumn id="6" name="growth_contribu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gmentsTable" displayName="SegmentsTable" ref="A1:G7" headerRowCount="1" totalsRowCount="0" totalsRowShown="0">
  <x:tableColumns count="7">
    <x:tableColumn id="1" name="﻿segment"/>
    <x:tableColumn id="2" name="customers"/>
    <x:tableColumn id="3" name="average_recency_days"/>
    <x:tableColumn id="4" name="average_frequency"/>
    <x:tableColumn id="5" name="average_monetary"/>
    <x:tableColumn id="6" name="total_gmv"/>
    <x:tableColumn id="7" name="average_review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hortsTable" displayName="CohortsTable" ref="A1:F208" headerRowCount="1" totalsRowCount="0" totalsRowShown="0">
  <x:tableColumns count="6">
    <x:tableColumn id="1" name="﻿cohort_month"/>
    <x:tableColumn id="2" name="activity_month"/>
    <x:tableColumn id="3" name="months_since"/>
    <x:tableColumn id="4" name="active_customers"/>
    <x:tableColumn id="5" name="cohort_size"/>
    <x:tableColumn id="6" name="retention_ra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xperienceTable" displayName="ExperienceTable" ref="A1:E6" headerRowCount="1" totalsRowCount="0" totalsRowShown="0">
  <x:tableColumns count="5">
    <x:tableColumn id="1" name="﻿delivery_band"/>
    <x:tableColumn id="2" name="orders"/>
    <x:tableColumn id="3" name="average_review"/>
    <x:tableColumn id="4" name="low_review_rate"/>
    <x:tableColumn id="5" name="gmv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tatesTable" displayName="StatesTable" ref="A1:H28" headerRowCount="1" totalsRowCount="0" totalsRowShown="0">
  <x:tableColumns count="8">
    <x:tableColumn id="1" name="﻿customer_state"/>
    <x:tableColumn id="2" name="orders"/>
    <x:tableColumn id="3" name="customers"/>
    <x:tableColumn id="4" name="gmv"/>
    <x:tableColumn id="5" name="average_order_value"/>
    <x:tableColumn id="6" name="on_time_rate"/>
    <x:tableColumn id="7" name="average_delivery_days"/>
    <x:tableColumn id="8" name="average_revie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98f2247b50346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b0e62d48d44d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49f515cf9545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d8bf49c5a246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7bd43a74f114a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fb8f58c53594b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785f3668c841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79ea2ed9c614b9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d26a3c2b6ff45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" max="1" width="15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</x:cols>
  <x:sheetData>
    <x:row r="1" ht="28" customHeight="1">
      <x:c r="A1" s="14" t="str">
        <x:v>Olist | Crescimento, clientes e experiência</x:v>
      </x:c>
      <x:c r="B1" s="14" t="str">
        <x:v>Olist | Crescimento, clientes e experiência</x:v>
      </x:c>
      <x:c r="C1" s="14" t="str">
        <x:v>Olist | Crescimento, clientes e experiência</x:v>
      </x:c>
      <x:c r="D1" s="14" t="str">
        <x:v>Olist | Crescimento, clientes e experiência</x:v>
      </x:c>
      <x:c r="E1" s="14" t="str">
        <x:v>Olist | Crescimento, clientes e experiência</x:v>
      </x:c>
      <x:c r="F1" s="14" t="str">
        <x:v>Olist | Crescimento, clientes e experiência</x:v>
      </x:c>
      <x:c r="G1" s="14" t="str">
        <x:v>Olist | Crescimento, clientes e experiência</x:v>
      </x:c>
      <x:c r="H1" s="14" t="str">
        <x:v>Olist | Crescimento, clientes e experiência</x:v>
      </x:c>
      <x:c r="I1" s="14" t="str">
        <x:v>Olist | Crescimento, clientes e experiência</x:v>
      </x:c>
      <x:c r="J1" s="14" t="str">
        <x:v>Olist | Crescimento, clientes e experiência</x:v>
      </x:c>
      <x:c r="K1" s="14" t="str">
        <x:v>Olist | Crescimento, clientes e experiência</x:v>
      </x:c>
      <x:c r="L1" s="14" t="str">
        <x:v>Olist | Crescimento, clientes e experiência</x:v>
      </x:c>
      <x:c r="M1" s="14" t="str">
        <x:v>Olist | Crescimento, clientes e experiência</x:v>
      </x:c>
      <x:c r="N1" s="112" t="str">
        <x:v>Mês</x:v>
      </x:c>
      <x:c r="O1" s="112" t="str">
        <x:v>GMV</x:v>
      </x:c>
      <x:c r="P1" s="112"/>
      <x:c r="Q1" s="112" t="str">
        <x:v>Categoria</x:v>
      </x:c>
      <x:c r="R1" s="112" t="str">
        <x:v>Crescimento absoluto</x:v>
      </x:c>
    </x:row>
    <x:row r="2" ht="28" customHeight="1">
      <x:c r="A2" s="14" t="str">
        <x:v>Olist | Crescimento, clientes e experiência</x:v>
      </x:c>
      <x:c r="B2" s="14" t="str">
        <x:v>Olist | Crescimento, clientes e experiência</x:v>
      </x:c>
      <x:c r="C2" s="14" t="str">
        <x:v>Olist | Crescimento, clientes e experiência</x:v>
      </x:c>
      <x:c r="D2" s="14" t="str">
        <x:v>Olist | Crescimento, clientes e experiência</x:v>
      </x:c>
      <x:c r="E2" s="14" t="str">
        <x:v>Olist | Crescimento, clientes e experiência</x:v>
      </x:c>
      <x:c r="F2" s="14" t="str">
        <x:v>Olist | Crescimento, clientes e experiência</x:v>
      </x:c>
      <x:c r="G2" s="14" t="str">
        <x:v>Olist | Crescimento, clientes e experiência</x:v>
      </x:c>
      <x:c r="H2" s="14" t="str">
        <x:v>Olist | Crescimento, clientes e experiência</x:v>
      </x:c>
      <x:c r="I2" s="14" t="str">
        <x:v>Olist | Crescimento, clientes e experiência</x:v>
      </x:c>
      <x:c r="J2" s="14" t="str">
        <x:v>Olist | Crescimento, clientes e experiência</x:v>
      </x:c>
      <x:c r="K2" s="14" t="str">
        <x:v>Olist | Crescimento, clientes e experiência</x:v>
      </x:c>
      <x:c r="L2" s="14" t="str">
        <x:v>Olist | Crescimento, clientes e experiência</x:v>
      </x:c>
      <x:c r="M2" s="14" t="str">
        <x:v>Olist | Crescimento, clientes e experiência</x:v>
      </x:c>
      <x:c r="N2" t="str">
        <x:f>'Tendência Mensal'!A2</x:f>
        <x:v>2017-01-01</x:v>
      </x:c>
      <x:c r="O2" t="n">
        <x:f>'Tendência Mensal'!B2</x:f>
        <x:v>127482.37</x:v>
      </x:c>
      <x:c r="Q2" t="str">
        <x:v>Saúde e beleza</x:v>
      </x:c>
      <x:c r="R2" t="n">
        <x:f>'Categorias'!D2</x:f>
        <x:v>588935.96</x:v>
      </x:c>
    </x:row>
    <x:row r="3" ht="24" customHeight="1">
      <x:c r="A3" s="18" t="str">
        <x:v>Case de portfólio • Pedidos entregues • Comparação principal: jan–ago/2018 vs jan–ago/2017</x:v>
      </x:c>
      <x:c r="B3" s="18" t="str">
        <x:v>Case de portfólio • Pedidos entregues • Comparação principal: jan–ago/2018 vs jan–ago/2017</x:v>
      </x:c>
      <x:c r="C3" s="18" t="str">
        <x:v>Case de portfólio • Pedidos entregues • Comparação principal: jan–ago/2018 vs jan–ago/2017</x:v>
      </x:c>
      <x:c r="D3" s="18" t="str">
        <x:v>Case de portfólio • Pedidos entregues • Comparação principal: jan–ago/2018 vs jan–ago/2017</x:v>
      </x:c>
      <x:c r="E3" s="18" t="str">
        <x:v>Case de portfólio • Pedidos entregues • Comparação principal: jan–ago/2018 vs jan–ago/2017</x:v>
      </x:c>
      <x:c r="F3" s="18" t="str">
        <x:v>Case de portfólio • Pedidos entregues • Comparação principal: jan–ago/2018 vs jan–ago/2017</x:v>
      </x:c>
      <x:c r="G3" s="18" t="str">
        <x:v>Case de portfólio • Pedidos entregues • Comparação principal: jan–ago/2018 vs jan–ago/2017</x:v>
      </x:c>
      <x:c r="H3" s="18" t="str">
        <x:v>Case de portfólio • Pedidos entregues • Comparação principal: jan–ago/2018 vs jan–ago/2017</x:v>
      </x:c>
      <x:c r="I3" s="18" t="str">
        <x:v>Case de portfólio • Pedidos entregues • Comparação principal: jan–ago/2018 vs jan–ago/2017</x:v>
      </x:c>
      <x:c r="J3" s="18" t="str">
        <x:v>Case de portfólio • Pedidos entregues • Comparação principal: jan–ago/2018 vs jan–ago/2017</x:v>
      </x:c>
      <x:c r="K3" s="18" t="str">
        <x:v>Case de portfólio • Pedidos entregues • Comparação principal: jan–ago/2018 vs jan–ago/2017</x:v>
      </x:c>
      <x:c r="L3" s="18" t="str">
        <x:v>Case de portfólio • Pedidos entregues • Comparação principal: jan–ago/2018 vs jan–ago/2017</x:v>
      </x:c>
      <x:c r="M3" s="18" t="str">
        <x:v>Case de portfólio • Pedidos entregues • Comparação principal: jan–ago/2018 vs jan–ago/2017</x:v>
      </x:c>
      <x:c r="N3" t="str">
        <x:f>'Tendência Mensal'!A3</x:f>
        <x:v>2017-02-01</x:v>
      </x:c>
      <x:c r="O3" t="n">
        <x:f>'Tendência Mensal'!B3</x:f>
        <x:v>271239.32</x:v>
      </x:c>
      <x:c r="Q3" t="str">
        <x:v>Relógios e presentes</x:v>
      </x:c>
      <x:c r="R3" t="n">
        <x:f>'Categorias'!D3</x:f>
        <x:v>534734.68</x:v>
      </x:c>
    </x:row>
    <x:row r="4">
      <x:c r="N4" t="str">
        <x:f>'Tendência Mensal'!A4</x:f>
        <x:v>2017-03-01</x:v>
      </x:c>
      <x:c r="O4" t="n">
        <x:f>'Tendência Mensal'!B4</x:f>
        <x:v>414330.95</x:v>
      </x:c>
      <x:c r="Q4" t="str">
        <x:v>Esporte e lazer</x:v>
      </x:c>
      <x:c r="R4" t="n">
        <x:f>'Categorias'!D4</x:f>
        <x:v>348616.45</x:v>
      </x:c>
    </x:row>
    <x:row r="5" ht="23" customHeight="1">
      <x:c r="A5" s="34" t="str">
        <x:v>GMV jan–ago/2018 (R$ mi)</x:v>
      </x:c>
      <x:c r="B5" s="35" t="str">
        <x:v>GMV jan–ago/2018 (R$ mi)</x:v>
      </x:c>
      <x:c r="C5" s="36" t="str">
        <x:v>GMV jan–ago/2018 (R$ mi)</x:v>
      </x:c>
      <x:c r="D5" s="62" t="str">
        <x:v>Crescimento do GMV (%)</x:v>
      </x:c>
      <x:c r="E5" s="63" t="str">
        <x:v>Crescimento do GMV (%)</x:v>
      </x:c>
      <x:c r="F5" s="64" t="str">
        <x:v>Crescimento do GMV (%)</x:v>
      </x:c>
      <x:c r="G5" s="72" t="str">
        <x:v>Ticket médio (R$)</x:v>
      </x:c>
      <x:c r="H5" s="73" t="str">
        <x:v>Ticket médio (R$)</x:v>
      </x:c>
      <x:c r="I5" s="74" t="str">
        <x:v>Ticket médio (R$)</x:v>
      </x:c>
      <x:c r="J5" s="81" t="str">
        <x:v>Entrega no prazo (%)</x:v>
      </x:c>
      <x:c r="K5" s="82" t="str">
        <x:v>Entrega no prazo (%)</x:v>
      </x:c>
      <x:c r="L5" s="83" t="str">
        <x:v>Entrega no prazo (%)</x:v>
      </x:c>
      <x:c r="N5" t="str">
        <x:f>'Tendência Mensal'!A5</x:f>
        <x:v>2017-04-01</x:v>
      </x:c>
      <x:c r="O5" t="n">
        <x:f>'Tendência Mensal'!B5</x:f>
        <x:v>390812.4</x:v>
      </x:c>
      <x:c r="Q5" t="str">
        <x:v>Cama, mesa e banho</x:v>
      </x:c>
      <x:c r="R5" t="n">
        <x:f>'Categorias'!D5</x:f>
        <x:v>343979.27</x:v>
      </x:c>
    </x:row>
    <x:row r="6">
      <x:c r="A6" s="55" t="n">
        <x:f>ROUND('KPIs'!C2/1000000,2)</x:f>
        <x:v>8.45</x:v>
      </x:c>
      <x:c r="B6" s="50"/>
      <x:c r="C6" s="51"/>
      <x:c r="D6" s="65" t="n">
        <x:f>ROUND('KPIs'!D2*100,1)</x:f>
        <x:v>143.4</x:v>
      </x:c>
      <x:c r="E6" s="50"/>
      <x:c r="F6" s="51"/>
      <x:c r="G6" s="55" t="n">
        <x:f>ROUND('KPIs'!C5,2)</x:f>
        <x:v>160.12</x:v>
      </x:c>
      <x:c r="H6" s="50"/>
      <x:c r="I6" s="51"/>
      <x:c r="J6" s="65" t="n">
        <x:f>ROUND('KPIs'!C7*100,1)</x:f>
        <x:v>90.6</x:v>
      </x:c>
      <x:c r="K6" s="50"/>
      <x:c r="L6" s="51"/>
      <x:c r="N6" t="str">
        <x:f>'Tendência Mensal'!A6</x:f>
        <x:v>2017-05-01</x:v>
      </x:c>
      <x:c r="O6" t="n">
        <x:f>'Tendência Mensal'!B6</x:f>
        <x:v>566851.4</x:v>
      </x:c>
      <x:c r="Q6" t="str">
        <x:v>Informática e acessórios</x:v>
      </x:c>
      <x:c r="R6" t="n">
        <x:f>'Categorias'!D6</x:f>
        <x:v>340057.68</x:v>
      </x:c>
    </x:row>
    <x:row r="7">
      <x:c r="A7" s="49"/>
      <x:c r="B7" s="50"/>
      <x:c r="C7" s="51"/>
      <x:c r="D7" s="49"/>
      <x:c r="E7" s="50"/>
      <x:c r="F7" s="51"/>
      <x:c r="G7" s="49"/>
      <x:c r="H7" s="50"/>
      <x:c r="I7" s="51"/>
      <x:c r="J7" s="49"/>
      <x:c r="K7" s="50"/>
      <x:c r="L7" s="51"/>
      <x:c r="N7" t="str">
        <x:f>'Tendência Mensal'!A7</x:f>
        <x:v>2017-06-01</x:v>
      </x:c>
      <x:c r="O7" t="n">
        <x:f>'Tendência Mensal'!B7</x:f>
        <x:v>490050.37</x:v>
      </x:c>
    </x:row>
    <x:row r="8">
      <x:c r="A8" s="52"/>
      <x:c r="B8" s="53"/>
      <x:c r="C8" s="54"/>
      <x:c r="D8" s="52"/>
      <x:c r="E8" s="53"/>
      <x:c r="F8" s="54"/>
      <x:c r="G8" s="52"/>
      <x:c r="H8" s="53"/>
      <x:c r="I8" s="54"/>
      <x:c r="J8" s="52"/>
      <x:c r="K8" s="53"/>
      <x:c r="L8" s="54"/>
      <x:c r="N8" t="str">
        <x:f>'Tendência Mensal'!A8</x:f>
        <x:v>2017-07-01</x:v>
      </x:c>
      <x:c r="O8" t="n">
        <x:f>'Tendência Mensal'!B8</x:f>
        <x:v>566299.08</x:v>
      </x:c>
    </x:row>
    <x:row r="9">
      <x:c r="N9" t="str">
        <x:f>'Tendência Mensal'!A9</x:f>
        <x:v>2017-08-01</x:v>
      </x:c>
      <x:c r="O9" t="n">
        <x:f>'Tendência Mensal'!B9</x:f>
        <x:v>645832.36</x:v>
      </x:c>
    </x:row>
    <x:row r="10">
      <x:c r="A10" s="103" t="str">
        <x:v>Leitura executiva: o GMV cresceu 143%, mas 98% do ganho veio do aumento de pedidos. O próximo ciclo deve converter escala em recorrência sem degradar a experiência de entrega.</x:v>
      </x:c>
      <x:c r="B10" s="104" t="str">
        <x:v>Leitura executiva: o GMV cresceu 143%, mas 98% do ganho veio do aumento de pedidos. O próximo ciclo deve converter escala em recorrência sem degradar a experiência de entrega.</x:v>
      </x:c>
      <x:c r="C10" s="104" t="str">
        <x:v>Leitura executiva: o GMV cresceu 143%, mas 98% do ganho veio do aumento de pedidos. O próximo ciclo deve converter escala em recorrência sem degradar a experiência de entrega.</x:v>
      </x:c>
      <x:c r="D10" s="104" t="str">
        <x:v>Leitura executiva: o GMV cresceu 143%, mas 98% do ganho veio do aumento de pedidos. O próximo ciclo deve converter escala em recorrência sem degradar a experiência de entrega.</x:v>
      </x:c>
      <x:c r="E10" s="104" t="str">
        <x:v>Leitura executiva: o GMV cresceu 143%, mas 98% do ganho veio do aumento de pedidos. O próximo ciclo deve converter escala em recorrência sem degradar a experiência de entrega.</x:v>
      </x:c>
      <x:c r="F10" s="104" t="str">
        <x:v>Leitura executiva: o GMV cresceu 143%, mas 98% do ganho veio do aumento de pedidos. O próximo ciclo deve converter escala em recorrência sem degradar a experiência de entrega.</x:v>
      </x:c>
      <x:c r="G10" s="104" t="str">
        <x:v>Leitura executiva: o GMV cresceu 143%, mas 98% do ganho veio do aumento de pedidos. O próximo ciclo deve converter escala em recorrência sem degradar a experiência de entrega.</x:v>
      </x:c>
      <x:c r="H10" s="104" t="str">
        <x:v>Leitura executiva: o GMV cresceu 143%, mas 98% do ganho veio do aumento de pedidos. O próximo ciclo deve converter escala em recorrência sem degradar a experiência de entrega.</x:v>
      </x:c>
      <x:c r="I10" s="104" t="str">
        <x:v>Leitura executiva: o GMV cresceu 143%, mas 98% do ganho veio do aumento de pedidos. O próximo ciclo deve converter escala em recorrência sem degradar a experiência de entrega.</x:v>
      </x:c>
      <x:c r="J10" s="104" t="str">
        <x:v>Leitura executiva: o GMV cresceu 143%, mas 98% do ganho veio do aumento de pedidos. O próximo ciclo deve converter escala em recorrência sem degradar a experiência de entrega.</x:v>
      </x:c>
      <x:c r="K10" s="104" t="str">
        <x:v>Leitura executiva: o GMV cresceu 143%, mas 98% do ganho veio do aumento de pedidos. O próximo ciclo deve converter escala em recorrência sem degradar a experiência de entrega.</x:v>
      </x:c>
      <x:c r="L10" s="104" t="str">
        <x:v>Leitura executiva: o GMV cresceu 143%, mas 98% do ganho veio do aumento de pedidos. O próximo ciclo deve converter escala em recorrência sem degradar a experiência de entrega.</x:v>
      </x:c>
      <x:c r="M10" s="105" t="str">
        <x:v>Leitura executiva: o GMV cresceu 143%, mas 98% do ganho veio do aumento de pedidos. O próximo ciclo deve converter escala em recorrência sem degradar a experiência de entrega.</x:v>
      </x:c>
      <x:c r="N10" t="str">
        <x:f>'Tendência Mensal'!A10</x:f>
        <x:v>2017-09-01</x:v>
      </x:c>
      <x:c r="O10" t="n">
        <x:f>'Tendência Mensal'!B10</x:f>
        <x:v>701077.49</x:v>
      </x:c>
    </x:row>
    <x:row r="11">
      <x:c r="A11" s="106" t="str">
        <x:v>Leitura executiva: o GMV cresceu 143%, mas 98% do ganho veio do aumento de pedidos. O próximo ciclo deve converter escala em recorrência sem degradar a experiência de entrega.</x:v>
      </x:c>
      <x:c r="B11" s="107" t="str">
        <x:v>Leitura executiva: o GMV cresceu 143%, mas 98% do ganho veio do aumento de pedidos. O próximo ciclo deve converter escala em recorrência sem degradar a experiência de entrega.</x:v>
      </x:c>
      <x:c r="C11" s="107" t="str">
        <x:v>Leitura executiva: o GMV cresceu 143%, mas 98% do ganho veio do aumento de pedidos. O próximo ciclo deve converter escala em recorrência sem degradar a experiência de entrega.</x:v>
      </x:c>
      <x:c r="D11" s="107" t="str">
        <x:v>Leitura executiva: o GMV cresceu 143%, mas 98% do ganho veio do aumento de pedidos. O próximo ciclo deve converter escala em recorrência sem degradar a experiência de entrega.</x:v>
      </x:c>
      <x:c r="E11" s="107" t="str">
        <x:v>Leitura executiva: o GMV cresceu 143%, mas 98% do ganho veio do aumento de pedidos. O próximo ciclo deve converter escala em recorrência sem degradar a experiência de entrega.</x:v>
      </x:c>
      <x:c r="F11" s="107" t="str">
        <x:v>Leitura executiva: o GMV cresceu 143%, mas 98% do ganho veio do aumento de pedidos. O próximo ciclo deve converter escala em recorrência sem degradar a experiência de entrega.</x:v>
      </x:c>
      <x:c r="G11" s="107" t="str">
        <x:v>Leitura executiva: o GMV cresceu 143%, mas 98% do ganho veio do aumento de pedidos. O próximo ciclo deve converter escala em recorrência sem degradar a experiência de entrega.</x:v>
      </x:c>
      <x:c r="H11" s="107" t="str">
        <x:v>Leitura executiva: o GMV cresceu 143%, mas 98% do ganho veio do aumento de pedidos. O próximo ciclo deve converter escala em recorrência sem degradar a experiência de entrega.</x:v>
      </x:c>
      <x:c r="I11" s="107" t="str">
        <x:v>Leitura executiva: o GMV cresceu 143%, mas 98% do ganho veio do aumento de pedidos. O próximo ciclo deve converter escala em recorrência sem degradar a experiência de entrega.</x:v>
      </x:c>
      <x:c r="J11" s="107" t="str">
        <x:v>Leitura executiva: o GMV cresceu 143%, mas 98% do ganho veio do aumento de pedidos. O próximo ciclo deve converter escala em recorrência sem degradar a experiência de entrega.</x:v>
      </x:c>
      <x:c r="K11" s="107" t="str">
        <x:v>Leitura executiva: o GMV cresceu 143%, mas 98% do ganho veio do aumento de pedidos. O próximo ciclo deve converter escala em recorrência sem degradar a experiência de entrega.</x:v>
      </x:c>
      <x:c r="L11" s="107" t="str">
        <x:v>Leitura executiva: o GMV cresceu 143%, mas 98% do ganho veio do aumento de pedidos. O próximo ciclo deve converter escala em recorrência sem degradar a experiência de entrega.</x:v>
      </x:c>
      <x:c r="M11" s="108" t="str">
        <x:v>Leitura executiva: o GMV cresceu 143%, mas 98% do ganho veio do aumento de pedidos. O próximo ciclo deve converter escala em recorrência sem degradar a experiência de entrega.</x:v>
      </x:c>
      <x:c r="N11" t="str">
        <x:f>'Tendência Mensal'!A11</x:f>
        <x:v>2017-10-01</x:v>
      </x:c>
      <x:c r="O11" t="n">
        <x:f>'Tendência Mensal'!B11</x:f>
        <x:v>751117.01</x:v>
      </x:c>
    </x:row>
    <x:row r="12">
      <x:c r="A12" s="109" t="str">
        <x:v>Leitura executiva: o GMV cresceu 143%, mas 98% do ganho veio do aumento de pedidos. O próximo ciclo deve converter escala em recorrência sem degradar a experiência de entrega.</x:v>
      </x:c>
      <x:c r="B12" s="110" t="str">
        <x:v>Leitura executiva: o GMV cresceu 143%, mas 98% do ganho veio do aumento de pedidos. O próximo ciclo deve converter escala em recorrência sem degradar a experiência de entrega.</x:v>
      </x:c>
      <x:c r="C12" s="110" t="str">
        <x:v>Leitura executiva: o GMV cresceu 143%, mas 98% do ganho veio do aumento de pedidos. O próximo ciclo deve converter escala em recorrência sem degradar a experiência de entrega.</x:v>
      </x:c>
      <x:c r="D12" s="110" t="str">
        <x:v>Leitura executiva: o GMV cresceu 143%, mas 98% do ganho veio do aumento de pedidos. O próximo ciclo deve converter escala em recorrência sem degradar a experiência de entrega.</x:v>
      </x:c>
      <x:c r="E12" s="110" t="str">
        <x:v>Leitura executiva: o GMV cresceu 143%, mas 98% do ganho veio do aumento de pedidos. O próximo ciclo deve converter escala em recorrência sem degradar a experiência de entrega.</x:v>
      </x:c>
      <x:c r="F12" s="110" t="str">
        <x:v>Leitura executiva: o GMV cresceu 143%, mas 98% do ganho veio do aumento de pedidos. O próximo ciclo deve converter escala em recorrência sem degradar a experiência de entrega.</x:v>
      </x:c>
      <x:c r="G12" s="110" t="str">
        <x:v>Leitura executiva: o GMV cresceu 143%, mas 98% do ganho veio do aumento de pedidos. O próximo ciclo deve converter escala em recorrência sem degradar a experiência de entrega.</x:v>
      </x:c>
      <x:c r="H12" s="110" t="str">
        <x:v>Leitura executiva: o GMV cresceu 143%, mas 98% do ganho veio do aumento de pedidos. O próximo ciclo deve converter escala em recorrência sem degradar a experiência de entrega.</x:v>
      </x:c>
      <x:c r="I12" s="110" t="str">
        <x:v>Leitura executiva: o GMV cresceu 143%, mas 98% do ganho veio do aumento de pedidos. O próximo ciclo deve converter escala em recorrência sem degradar a experiência de entrega.</x:v>
      </x:c>
      <x:c r="J12" s="110" t="str">
        <x:v>Leitura executiva: o GMV cresceu 143%, mas 98% do ganho veio do aumento de pedidos. O próximo ciclo deve converter escala em recorrência sem degradar a experiência de entrega.</x:v>
      </x:c>
      <x:c r="K12" s="110" t="str">
        <x:v>Leitura executiva: o GMV cresceu 143%, mas 98% do ganho veio do aumento de pedidos. O próximo ciclo deve converter escala em recorrência sem degradar a experiência de entrega.</x:v>
      </x:c>
      <x:c r="L12" s="110" t="str">
        <x:v>Leitura executiva: o GMV cresceu 143%, mas 98% do ganho veio do aumento de pedidos. O próximo ciclo deve converter escala em recorrência sem degradar a experiência de entrega.</x:v>
      </x:c>
      <x:c r="M12" s="111" t="str">
        <x:v>Leitura executiva: o GMV cresceu 143%, mas 98% do ganho veio do aumento de pedidos. O próximo ciclo deve converter escala em recorrência sem degradar a experiência de entrega.</x:v>
      </x:c>
      <x:c r="N12" t="str">
        <x:f>'Tendência Mensal'!A12</x:f>
        <x:v>2017-11-01</x:v>
      </x:c>
      <x:c r="O12" t="n">
        <x:f>'Tendência Mensal'!B12</x:f>
        <x:v>1153364.2</x:v>
      </x:c>
    </x:row>
    <x:row r="13">
      <x:c r="N13" t="str">
        <x:f>'Tendência Mensal'!A13</x:f>
        <x:v>2017-12-01</x:v>
      </x:c>
      <x:c r="O13" t="n">
        <x:f>'Tendência Mensal'!B13</x:f>
        <x:v>843078.29</x:v>
      </x:c>
    </x:row>
    <x:row r="14">
      <x:c r="N14" t="str">
        <x:f>'Tendência Mensal'!A14</x:f>
        <x:v>2018-01-01</x:v>
      </x:c>
      <x:c r="O14" t="n">
        <x:f>'Tendência Mensal'!B14</x:f>
        <x:v>1077887.46</x:v>
      </x:c>
    </x:row>
    <x:row r="15">
      <x:c r="N15" t="str">
        <x:f>'Tendência Mensal'!A15</x:f>
        <x:v>2018-02-01</x:v>
      </x:c>
      <x:c r="O15" t="n">
        <x:f>'Tendência Mensal'!B15</x:f>
        <x:v>966168.41</x:v>
      </x:c>
    </x:row>
    <x:row r="16">
      <x:c r="N16" t="str">
        <x:f>'Tendência Mensal'!A16</x:f>
        <x:v>2018-03-01</x:v>
      </x:c>
      <x:c r="O16" t="n">
        <x:f>'Tendência Mensal'!B16</x:f>
        <x:v>1120598.24</x:v>
      </x:c>
    </x:row>
    <x:row r="17">
      <x:c r="N17" t="str">
        <x:f>'Tendência Mensal'!A17</x:f>
        <x:v>2018-04-01</x:v>
      </x:c>
      <x:c r="O17" t="n">
        <x:f>'Tendência Mensal'!B17</x:f>
        <x:v>1132878.93</x:v>
      </x:c>
    </x:row>
    <x:row r="18">
      <x:c r="N18" t="str">
        <x:f>'Tendência Mensal'!A18</x:f>
        <x:v>2018-05-01</x:v>
      </x:c>
      <x:c r="O18" t="n">
        <x:f>'Tendência Mensal'!B18</x:f>
        <x:v>1128774.52</x:v>
      </x:c>
    </x:row>
    <x:row r="19">
      <x:c r="N19" t="str">
        <x:f>'Tendência Mensal'!A19</x:f>
        <x:v>2018-06-01</x:v>
      </x:c>
      <x:c r="O19" t="n">
        <x:f>'Tendência Mensal'!B19</x:f>
        <x:v>1011978.29</x:v>
      </x:c>
    </x:row>
    <x:row r="20">
      <x:c r="N20" t="str">
        <x:f>'Tendência Mensal'!A20</x:f>
        <x:v>2018-07-01</x:v>
      </x:c>
      <x:c r="O20" t="n">
        <x:f>'Tendência Mensal'!B20</x:f>
        <x:v>1027807.28</x:v>
      </x:c>
    </x:row>
    <x:row r="21">
      <x:c r="N21" t="str">
        <x:f>'Tendência Mensal'!A21</x:f>
        <x:v>2018-08-01</x:v>
      </x:c>
      <x:c r="O21" t="n">
        <x:f>'Tendência Mensal'!B21</x:f>
        <x:v>985491.64</x:v>
      </x:c>
    </x:row>
    <x:row r="31">
      <x:c r="A31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B31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C31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D31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E31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F31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G31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H31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I31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J31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K31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L31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M31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</x:row>
    <x:row r="32">
      <x:c r="A32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B32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C32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D32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E32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F32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G32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H32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I32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J32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K32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L32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M32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</x:row>
    <x:row r="33">
      <x:c r="A33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B33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C33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D33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E33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F33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G33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H33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I33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J33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K33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L33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M33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</x:row>
    <x:row r="34">
      <x:c r="A34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B34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C34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D34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E34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F34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G34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H34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I34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J34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K34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L34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M34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</x:row>
    <x:row r="35">
      <x:c r="A35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B35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C35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D35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E35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F35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G35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H35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I35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J35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K35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L35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  <x:c r="M35" s="115" t="str">
        <x:v>Recomendação: priorizar uma campanha de 2ª compra para os 8,7 mil clientes recentes de alto valor, com grupo de controle; em paralelo, acionar recuperação de serviço para atrasos ≥4 dias. A métrica principal deve ser GMV incremental — não apenas conversão bruta.</x:v>
      </x:c>
    </x:row>
  </x:sheetData>
  <x:mergeCells>
    <x:mergeCell ref="A1:M2"/>
    <x:mergeCell ref="A3:M3"/>
    <x:mergeCell ref="A5:C5"/>
    <x:mergeCell ref="A6:C8"/>
    <x:mergeCell ref="D5:F5"/>
    <x:mergeCell ref="D6:F8"/>
    <x:mergeCell ref="G5:I5"/>
    <x:mergeCell ref="G6:I8"/>
    <x:mergeCell ref="J5:L5"/>
    <x:mergeCell ref="J6:L8"/>
    <x:mergeCell ref="A10:M12"/>
    <x:mergeCell ref="A31:M35"/>
  </x:mergeCells>
  <x:pageMargins left="0.7" right="0.7" top="0.75" bottom="0.75" header="0.3" footer="0.3"/>
  <x:drawing xmlns:r="http://schemas.openxmlformats.org/officeDocument/2006/relationships" r:id="R198f2247b50346f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9.380000114440918" hidden="0" customWidth="1"/>
    <x:col min="3" max="3" width="9.380000114440918" hidden="0" customWidth="1"/>
    <x:col min="4" max="4" width="10" hidden="0" customWidth="1"/>
  </x:cols>
  <x:sheetData>
    <x:row r="1" ht="34" customHeight="1">
      <x:c r="A1" s="5" t="str">
        <x:v>﻿metric</x:v>
      </x:c>
      <x:c r="B1" s="5" t="str">
        <x:v>value_2017</x:v>
      </x:c>
      <x:c r="C1" s="5" t="str">
        <x:v>value_2018</x:v>
      </x:c>
      <x:c r="D1" s="5" t="str">
        <x:v>variation</x:v>
      </x:c>
    </x:row>
    <x:row r="2">
      <x:c r="A2" s="1" t="str">
        <x:v>GMV</x:v>
      </x:c>
      <x:c r="B2" s="6" t="n">
        <x:v>3472898.25</x:v>
      </x:c>
      <x:c r="C2" s="6" t="n">
        <x:v>8451584.77</x:v>
      </x:c>
      <x:c r="D2" s="9" t="n">
        <x:v>1.4335826049611444</x:v>
      </x:c>
    </x:row>
    <x:row r="3">
      <x:c r="A3" s="1" t="str">
        <x:v>Pedidos</x:v>
      </x:c>
      <x:c r="B3" s="1" t="n">
        <x:v>21998</x:v>
      </x:c>
      <x:c r="C3" s="1" t="n">
        <x:v>52783</x:v>
      </x:c>
      <x:c r="D3" s="9" t="n">
        <x:v>1.399445404127648</x:v>
      </x:c>
    </x:row>
    <x:row r="4">
      <x:c r="A4" s="1" t="str">
        <x:v>Clientes</x:v>
      </x:c>
      <x:c r="B4" s="1" t="n">
        <x:v>21404</x:v>
      </x:c>
      <x:c r="C4" s="1" t="n">
        <x:v>51612</x:v>
      </x:c>
      <x:c r="D4" s="9" t="n">
        <x:v>1.4113249859839283</x:v>
      </x:c>
    </x:row>
    <x:row r="5">
      <x:c r="A5" s="1" t="str">
        <x:v>Ticket médio</x:v>
      </x:c>
      <x:c r="B5" s="7" t="n">
        <x:v>157.87336348758978</x:v>
      </x:c>
      <x:c r="C5" s="7" t="n">
        <x:v>160.11944698103557</x:v>
      </x:c>
      <x:c r="D5" s="9" t="n">
        <x:v>0.0142271213067703</x:v>
      </x:c>
    </x:row>
    <x:row r="6">
      <x:c r="A6" s="1" t="str">
        <x:v>Itens por pedido</x:v>
      </x:c>
      <x:c r="B6" s="8" t="n">
        <x:v>1.1338758068915356</x:v>
      </x:c>
      <x:c r="C6" s="8" t="n">
        <x:v>1.1428679688536083</x:v>
      </x:c>
      <x:c r="D6" s="9" t="n">
        <x:v>0.007930464612984533</x:v>
      </x:c>
    </x:row>
    <x:row r="7">
      <x:c r="A7" s="1" t="str">
        <x:v>Entrega no prazo</x:v>
      </x:c>
      <x:c r="B7" s="9" t="n">
        <x:v>0.9581761149247625</x:v>
      </x:c>
      <x:c r="C7" s="9" t="n">
        <x:v>0.906322830020653</x:v>
      </x:c>
      <x:c r="D7" s="9" t="n">
        <x:v>-0.05185328490410953</x:v>
      </x:c>
    </x:row>
    <x:row r="8">
      <x:c r="A8" s="1" t="str">
        <x:v>Nota média</x:v>
      </x:c>
      <x:c r="B8" s="8" t="n">
        <x:v>4.233174428721894</x:v>
      </x:c>
      <x:c r="C8" s="8" t="n">
        <x:v>4.142035717008462</x:v>
      </x:c>
      <x:c r="D8" s="8" t="n">
        <x:v>-0.0911387117134317</x:v>
      </x:c>
    </x:row>
  </x:sheetData>
  <x:pageMargins left="0.7" right="0.7" top="0.75" bottom="0.75" header="0.3" footer="0.3"/>
  <x:tableParts count="1">
    <x:tablePart xmlns:r="http://schemas.openxmlformats.org/officeDocument/2006/relationships" r:id="R90b0e62d48d44d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30000114440918" hidden="0" customWidth="1"/>
    <x:col min="2" max="2" width="8.630000114440918" hidden="0" customWidth="1"/>
    <x:col min="3" max="3" width="4.880000114440918" hidden="0" customWidth="1"/>
    <x:col min="4" max="4" width="7.630000114440918" hidden="0" customWidth="1"/>
    <x:col min="5" max="5" width="14.880000114440918" hidden="0" customWidth="1"/>
    <x:col min="6" max="6" width="12" hidden="0" customWidth="1"/>
    <x:col min="7" max="7" width="9.75" hidden="0" customWidth="1"/>
    <x:col min="8" max="8" width="11.25" hidden="0" customWidth="1"/>
    <x:col min="9" max="9" width="14.130000114440918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34" customHeight="1">
      <x:c r="A1" s="5" t="str">
        <x:v>﻿purchase_month</x:v>
      </x:c>
      <x:c r="B1" s="5" t="str">
        <x:v>gmv</x:v>
      </x:c>
      <x:c r="C1" s="5" t="str">
        <x:v>orders</x:v>
      </x:c>
      <x:c r="D1" s="5" t="str">
        <x:v>customers</x:v>
      </x:c>
      <x:c r="E1" s="5" t="str">
        <x:v>average_order_value</x:v>
      </x:c>
      <x:c r="F1" s="5" t="str">
        <x:v>items_per_order</x:v>
      </x:c>
      <x:c r="G1" s="5" t="str">
        <x:v>on_time_rate</x:v>
      </x:c>
      <x:c r="H1" s="5" t="str">
        <x:v>average_review</x:v>
      </x:c>
      <x:c r="I1" s="5" t="str">
        <x:v>repeat_order_share</x:v>
      </x:c>
      <x:c r="J1" s="5" t="str">
        <x:v>gmv_mom</x:v>
      </x:c>
      <x:c r="K1" s="5" t="str">
        <x:v>orders_mom</x:v>
      </x:c>
      <x:c r="L1" s="5" t="str">
        <x:v>aov_mom</x:v>
      </x:c>
    </x:row>
    <x:row r="2">
      <x:c r="A2" s="1" t="str">
        <x:v>2017-01-01</x:v>
      </x:c>
      <x:c r="B2" s="6" t="n">
        <x:v>127482.37</x:v>
      </x:c>
      <x:c r="C2" s="1" t="n">
        <x:v>750</x:v>
      </x:c>
      <x:c r="D2" s="1" t="n">
        <x:v>718</x:v>
      </x:c>
      <x:c r="E2" s="7" t="n">
        <x:v>169.97649333333334</x:v>
      </x:c>
      <x:c r="F2" s="8" t="n">
        <x:v>1.2173333333333334</x:v>
      </x:c>
      <x:c r="G2" s="9" t="n">
        <x:v>0.9693333333333334</x:v>
      </x:c>
      <x:c r="H2" s="8" t="n">
        <x:v>4.199055330634278</x:v>
      </x:c>
      <x:c r="I2" s="9" t="n">
        <x:v>0.044</x:v>
      </x:c>
      <x:c r="J2" s="9" t="str"/>
      <x:c r="K2" s="9" t="str"/>
      <x:c r="L2" s="9" t="str"/>
    </x:row>
    <x:row r="3">
      <x:c r="A3" s="1" t="str">
        <x:v>2017-02-01</x:v>
      </x:c>
      <x:c r="B3" s="6" t="n">
        <x:v>271239.32</x:v>
      </x:c>
      <x:c r="C3" s="1" t="n">
        <x:v>1653</x:v>
      </x:c>
      <x:c r="D3" s="1" t="n">
        <x:v>1630</x:v>
      </x:c>
      <x:c r="E3" s="7" t="n">
        <x:v>164.08912280701753</x:v>
      </x:c>
      <x:c r="F3" s="8" t="n">
        <x:v>1.1240169388989716</x:v>
      </x:c>
      <x:c r="G3" s="9" t="n">
        <x:v>0.9679370840895342</x:v>
      </x:c>
      <x:c r="H3" s="8" t="n">
        <x:v>4.202678027997566</x:v>
      </x:c>
      <x:c r="I3" s="9" t="n">
        <x:v>0.015124016938898971</x:v>
      </x:c>
      <x:c r="J3" s="9" t="n">
        <x:v>1.1276614170257424</x:v>
      </x:c>
      <x:c r="K3" s="9" t="n">
        <x:v>1.204</x:v>
      </x:c>
      <x:c r="L3" s="9" t="n">
        <x:v>-0.034636380659826466</x:v>
      </x:c>
    </x:row>
    <x:row r="4">
      <x:c r="A4" s="1" t="str">
        <x:v>2017-03-01</x:v>
      </x:c>
      <x:c r="B4" s="6" t="n">
        <x:v>414330.95</x:v>
      </x:c>
      <x:c r="C4" s="1" t="n">
        <x:v>2546</x:v>
      </x:c>
      <x:c r="D4" s="1" t="n">
        <x:v>2508</x:v>
      </x:c>
      <x:c r="E4" s="7" t="n">
        <x:v>162.73800078554595</x:v>
      </x:c>
      <x:c r="F4" s="8" t="n">
        <x:v>1.1378633150039277</x:v>
      </x:c>
      <x:c r="G4" s="9" t="n">
        <x:v>0.9442262372348782</x:v>
      </x:c>
      <x:c r="H4" s="8" t="n">
        <x:v>4.187376335575782</x:v>
      </x:c>
      <x:c r="I4" s="9" t="n">
        <x:v>0.016889238020424194</x:v>
      </x:c>
      <x:c r="J4" s="9" t="n">
        <x:v>0.5275475178156322</x:v>
      </x:c>
      <x:c r="K4" s="9" t="n">
        <x:v>0.5402298850574713</x:v>
      </x:c>
      <x:c r="L4" s="9" t="n">
        <x:v>-0.008234074254029753</x:v>
      </x:c>
    </x:row>
    <x:row r="5">
      <x:c r="A5" s="1" t="str">
        <x:v>2017-04-01</x:v>
      </x:c>
      <x:c r="B5" s="6" t="n">
        <x:v>390812.4</x:v>
      </x:c>
      <x:c r="C5" s="1" t="n">
        <x:v>2303</x:v>
      </x:c>
      <x:c r="D5" s="1" t="n">
        <x:v>2274</x:v>
      </x:c>
      <x:c r="E5" s="7" t="n">
        <x:v>169.69709075119408</x:v>
      </x:c>
      <x:c r="F5" s="8" t="n">
        <x:v>1.115501519756839</x:v>
      </x:c>
      <x:c r="G5" s="9" t="n">
        <x:v>0.921406860616587</x:v>
      </x:c>
      <x:c r="H5" s="8" t="n">
        <x:v>4.137554585152839</x:v>
      </x:c>
      <x:c r="I5" s="9" t="n">
        <x:v>0.02040816326530612</x:v>
      </x:c>
      <x:c r="J5" s="9" t="n">
        <x:v>-0.05676271589172858</x:v>
      </x:c>
      <x:c r="K5" s="9" t="n">
        <x:v>-0.09544383346425767</x:v>
      </x:c>
      <x:c r="L5" s="9" t="n">
        <x:v>0.0427625381414064</x:v>
      </x:c>
    </x:row>
    <x:row r="6">
      <x:c r="A6" s="1" t="str">
        <x:v>2017-05-01</x:v>
      </x:c>
      <x:c r="B6" s="6" t="n">
        <x:v>566851.4</x:v>
      </x:c>
      <x:c r="C6" s="1" t="n">
        <x:v>3546</x:v>
      </x:c>
      <x:c r="D6" s="1" t="n">
        <x:v>3479</x:v>
      </x:c>
      <x:c r="E6" s="7" t="n">
        <x:v>159.85657078398197</x:v>
      </x:c>
      <x:c r="F6" s="8" t="n">
        <x:v>1.129159616469261</x:v>
      </x:c>
      <x:c r="G6" s="9" t="n">
        <x:v>0.9638928067700987</x:v>
      </x:c>
      <x:c r="H6" s="8" t="n">
        <x:v>4.238487777146106</x:v>
      </x:c>
      <x:c r="I6" s="9" t="n">
        <x:v>0.026790750141003947</x:v>
      </x:c>
      <x:c r="J6" s="9" t="n">
        <x:v>0.4504437423172857</x:v>
      </x:c>
      <x:c r="K6" s="9" t="n">
        <x:v>0.5397307859313938</x:v>
      </x:c>
      <x:c r="L6" s="9" t="n">
        <x:v>-0.05798873701164437</x:v>
      </x:c>
    </x:row>
    <x:row r="7">
      <x:c r="A7" s="1" t="str">
        <x:v>2017-06-01</x:v>
      </x:c>
      <x:c r="B7" s="6" t="n">
        <x:v>490050.37</x:v>
      </x:c>
      <x:c r="C7" s="1" t="n">
        <x:v>3135</x:v>
      </x:c>
      <x:c r="D7" s="1" t="n">
        <x:v>3076</x:v>
      </x:c>
      <x:c r="E7" s="7" t="n">
        <x:v>156.31590749601276</x:v>
      </x:c>
      <x:c r="F7" s="8" t="n">
        <x:v>1.1129186602870813</x:v>
      </x:c>
      <x:c r="G7" s="9" t="n">
        <x:v>0.9614035087719298</x:v>
      </x:c>
      <x:c r="H7" s="8" t="n">
        <x:v>4.222918675666988</x:v>
      </x:c>
      <x:c r="I7" s="9" t="n">
        <x:v>0.03125996810207336</x:v>
      </x:c>
      <x:c r="J7" s="9" t="n">
        <x:v>-0.13548706062999932</x:v>
      </x:c>
      <x:c r="K7" s="9" t="n">
        <x:v>-0.11590524534686972</x:v>
      </x:c>
      <x:c r="L7" s="9" t="n">
        <x:v>-0.022149000636037516</x:v>
      </x:c>
    </x:row>
    <x:row r="8">
      <x:c r="A8" s="1" t="str">
        <x:v>2017-07-01</x:v>
      </x:c>
      <x:c r="B8" s="6" t="n">
        <x:v>566299.08</x:v>
      </x:c>
      <x:c r="C8" s="1" t="n">
        <x:v>3872</x:v>
      </x:c>
      <x:c r="D8" s="1" t="n">
        <x:v>3802</x:v>
      </x:c>
      <x:c r="E8" s="7" t="n">
        <x:v>146.2549276859504</x:v>
      </x:c>
      <x:c r="F8" s="8" t="n">
        <x:v>1.140495867768595</x:v>
      </x:c>
      <x:c r="G8" s="9" t="n">
        <x:v>0.965650826446281</x:v>
      </x:c>
      <x:c r="H8" s="8" t="n">
        <x:v>4.258414888079126</x:v>
      </x:c>
      <x:c r="I8" s="9" t="n">
        <x:v>0.030991735537190084</x:v>
      </x:c>
      <x:c r="J8" s="9" t="n">
        <x:v>0.1555936178560583</x:v>
      </x:c>
      <x:c r="K8" s="9" t="n">
        <x:v>0.2350877192982456</x:v>
      </x:c>
      <x:c r="L8" s="9" t="n">
        <x:v>-0.06436312190631639</x:v>
      </x:c>
    </x:row>
    <x:row r="9">
      <x:c r="A9" s="1" t="str">
        <x:v>2017-08-01</x:v>
      </x:c>
      <x:c r="B9" s="6" t="n">
        <x:v>645832.36</x:v>
      </x:c>
      <x:c r="C9" s="1" t="n">
        <x:v>4193</x:v>
      </x:c>
      <x:c r="D9" s="1" t="n">
        <x:v>4114</x:v>
      </x:c>
      <x:c r="E9" s="7" t="n">
        <x:v>154.02632005723825</x:v>
      </x:c>
      <x:c r="F9" s="8" t="n">
        <x:v>1.144049606487002</x:v>
      </x:c>
      <x:c r="G9" s="9" t="n">
        <x:v>0.9668495110899118</x:v>
      </x:c>
      <x:c r="H9" s="8" t="n">
        <x:v>4.3115246098439375</x:v>
      </x:c>
      <x:c r="I9" s="9" t="n">
        <x:v>0.03243501073217267</x:v>
      </x:c>
      <x:c r="J9" s="9" t="n">
        <x:v>0.1404439505711364</x:v>
      </x:c>
      <x:c r="K9" s="9" t="n">
        <x:v>0.0829028925619835</x:v>
      </x:c>
      <x:c r="L9" s="9" t="n">
        <x:v>0.0531359352758025</x:v>
      </x:c>
    </x:row>
    <x:row r="10">
      <x:c r="A10" s="1" t="str">
        <x:v>2017-09-01</x:v>
      </x:c>
      <x:c r="B10" s="6" t="n">
        <x:v>701077.49</x:v>
      </x:c>
      <x:c r="C10" s="1" t="n">
        <x:v>4150</x:v>
      </x:c>
      <x:c r="D10" s="1" t="n">
        <x:v>4083</x:v>
      </x:c>
      <x:c r="E10" s="7" t="n">
        <x:v>168.93433493975903</x:v>
      </x:c>
      <x:c r="F10" s="8" t="n">
        <x:v>1.1414457831325302</x:v>
      </x:c>
      <x:c r="G10" s="9" t="n">
        <x:v>0.9479518072289157</x:v>
      </x:c>
      <x:c r="H10" s="8" t="n">
        <x:v>4.267484215638659</x:v>
      </x:c>
      <x:c r="I10" s="9" t="n">
        <x:v>0.03518072289156626</x:v>
      </x:c>
      <x:c r="J10" s="9" t="n">
        <x:v>0.0855409753701409</x:v>
      </x:c>
      <x:c r="K10" s="9" t="n">
        <x:v>-0.010255187216789887</x:v>
      </x:c>
      <x:c r="L10" s="9" t="n">
        <x:v>0.0967887493318075</x:v>
      </x:c>
    </x:row>
    <x:row r="11">
      <x:c r="A11" s="1" t="str">
        <x:v>2017-10-01</x:v>
      </x:c>
      <x:c r="B11" s="6" t="n">
        <x:v>751117.01</x:v>
      </x:c>
      <x:c r="C11" s="1" t="n">
        <x:v>4478</x:v>
      </x:c>
      <x:c r="D11" s="1" t="n">
        <x:v>4417</x:v>
      </x:c>
      <x:c r="E11" s="7" t="n">
        <x:v>167.73492853952658</x:v>
      </x:c>
      <x:c r="F11" s="8" t="n">
        <x:v>1.1643590888789639</x:v>
      </x:c>
      <x:c r="G11" s="9" t="n">
        <x:v>0.947074586869138</x:v>
      </x:c>
      <x:c r="H11" s="8" t="n">
        <x:v>4.205240665766982</x:v>
      </x:c>
      <x:c r="I11" s="9" t="n">
        <x:v>0.033497096918267084</x:v>
      </x:c>
      <x:c r="J11" s="9" t="n">
        <x:v>0.0713751628225861</x:v>
      </x:c>
      <x:c r="K11" s="9" t="n">
        <x:v>0.0790361445783133</x:v>
      </x:c>
      <x:c r="L11" s="9" t="n">
        <x:v>-0.007099837937978463</x:v>
      </x:c>
    </x:row>
    <x:row r="12">
      <x:c r="A12" s="1" t="str">
        <x:v>2017-11-01</x:v>
      </x:c>
      <x:c r="B12" s="6" t="n">
        <x:v>1153364.2</x:v>
      </x:c>
      <x:c r="C12" s="1" t="n">
        <x:v>7289</x:v>
      </x:c>
      <x:c r="D12" s="1" t="n">
        <x:v>7183</x:v>
      </x:c>
      <x:c r="E12" s="7" t="n">
        <x:v>158.23352997667718</x:v>
      </x:c>
      <x:c r="F12" s="8" t="n">
        <x:v>1.1627109342845383</x:v>
      </x:c>
      <x:c r="G12" s="9" t="n">
        <x:v>0.8568880351262349</x:v>
      </x:c>
      <x:c r="H12" s="8" t="n">
        <x:v>3.988878143133462</x:v>
      </x:c>
      <x:c r="I12" s="9" t="n">
        <x:v>0.031417204006036495</x:v>
      </x:c>
      <x:c r="J12" s="9" t="n">
        <x:v>0.5355319938766931</x:v>
      </x:c>
      <x:c r="K12" s="9" t="n">
        <x:v>0.6277355962483251</x:v>
      </x:c>
      <x:c r="L12" s="9" t="n">
        <x:v>-0.05664531916863335</x:v>
      </x:c>
    </x:row>
    <x:row r="13">
      <x:c r="A13" s="1" t="str">
        <x:v>2017-12-01</x:v>
      </x:c>
      <x:c r="B13" s="6" t="n">
        <x:v>843078.29</x:v>
      </x:c>
      <x:c r="C13" s="1" t="n">
        <x:v>5513</x:v>
      </x:c>
      <x:c r="D13" s="1" t="n">
        <x:v>5450</x:v>
      </x:c>
      <x:c r="E13" s="7" t="n">
        <x:v>152.92550154181026</x:v>
      </x:c>
      <x:c r="F13" s="8" t="n">
        <x:v>1.1222564846725922</x:v>
      </x:c>
      <x:c r="G13" s="9" t="n">
        <x:v>0.9161980772719027</x:v>
      </x:c>
      <x:c r="H13" s="8" t="n">
        <x:v>4.0895440395531955</x:v>
      </x:c>
      <x:c r="I13" s="9" t="n">
        <x:v>0.031743152548521676</x:v>
      </x:c>
      <x:c r="J13" s="9" t="n">
        <x:v>-0.2690268260450602</x:v>
      </x:c>
      <x:c r="K13" s="9" t="n">
        <x:v>-0.2436548223350254</x:v>
      </x:c>
      <x:c r="L13" s="9" t="n">
        <x:v>-0.03354553510655608</x:v>
      </x:c>
    </x:row>
    <x:row r="14">
      <x:c r="A14" s="1" t="str">
        <x:v>2018-01-01</x:v>
      </x:c>
      <x:c r="B14" s="6" t="n">
        <x:v>1077887.46</x:v>
      </x:c>
      <x:c r="C14" s="1" t="n">
        <x:v>7069</x:v>
      </x:c>
      <x:c r="D14" s="1" t="n">
        <x:v>6974</x:v>
      </x:c>
      <x:c r="E14" s="7" t="n">
        <x:v>152.4808968736738</x:v>
      </x:c>
      <x:c r="F14" s="8" t="n">
        <x:v>1.1369359173857687</x:v>
      </x:c>
      <x:c r="G14" s="9" t="n">
        <x:v>0.9343612957985571</x:v>
      </x:c>
      <x:c r="H14" s="8" t="n">
        <x:v>4.108726650506203</x:v>
      </x:c>
      <x:c r="I14" s="9" t="n">
        <x:v>0.032112038477861087</x:v>
      </x:c>
      <x:c r="J14" s="9" t="n">
        <x:v>0.278514074890957</x:v>
      </x:c>
      <x:c r="K14" s="9" t="n">
        <x:v>0.2822419735171413</x:v>
      </x:c>
      <x:c r="L14" s="9" t="n">
        <x:v>-0.0029073284942925195</x:v>
      </x:c>
    </x:row>
    <x:row r="15">
      <x:c r="A15" s="1" t="str">
        <x:v>2018-02-01</x:v>
      </x:c>
      <x:c r="B15" s="6" t="n">
        <x:v>966168.41</x:v>
      </x:c>
      <x:c r="C15" s="1" t="n">
        <x:v>6555</x:v>
      </x:c>
      <x:c r="D15" s="1" t="n">
        <x:v>6400</x:v>
      </x:c>
      <x:c r="E15" s="7" t="n">
        <x:v>147.39411289092297</x:v>
      </x:c>
      <x:c r="F15" s="8" t="n">
        <x:v>1.1469107551487414</x:v>
      </x:c>
      <x:c r="G15" s="9" t="n">
        <x:v>0.8401220442410374</x:v>
      </x:c>
      <x:c r="H15" s="8" t="n">
        <x:v>3.8817166128784386</x:v>
      </x:c>
      <x:c r="I15" s="9" t="n">
        <x:v>0.040732265446224256</x:v>
      </x:c>
      <x:c r="J15" s="9" t="n">
        <x:v>-0.10364630274110434</x:v>
      </x:c>
      <x:c r="K15" s="9" t="n">
        <x:v>-0.07271184043004668</x:v>
      </x:c>
      <x:c r="L15" s="9" t="n">
        <x:v>-0.03336013944727179</x:v>
      </x:c>
    </x:row>
    <x:row r="16">
      <x:c r="A16" s="1" t="str">
        <x:v>2018-03-01</x:v>
      </x:c>
      <x:c r="B16" s="6" t="n">
        <x:v>1120598.24</x:v>
      </x:c>
      <x:c r="C16" s="1" t="n">
        <x:v>7003</x:v>
      </x:c>
      <x:c r="D16" s="1" t="n">
        <x:v>6914</x:v>
      </x:c>
      <x:c r="E16" s="7" t="n">
        <x:v>160.01688419248893</x:v>
      </x:c>
      <x:c r="F16" s="8" t="n">
        <x:v>1.144795087819506</x:v>
      </x:c>
      <x:c r="G16" s="9" t="n">
        <x:v>0.7863772668856205</x:v>
      </x:c>
      <x:c r="H16" s="8" t="n">
        <x:v>3.8132556131260795</x:v>
      </x:c>
      <x:c r="I16" s="9" t="n">
        <x:v>0.03270027131229473</x:v>
      </x:c>
      <x:c r="J16" s="9" t="n">
        <x:v>0.1598373828016174</x:v>
      </x:c>
      <x:c r="K16" s="9" t="n">
        <x:v>0.0683447749809306</x:v>
      </x:c>
      <x:c r="L16" s="9" t="n">
        <x:v>0.0856395893566474</x:v>
      </x:c>
    </x:row>
    <x:row r="17">
      <x:c r="A17" s="1" t="str">
        <x:v>2018-04-01</x:v>
      </x:c>
      <x:c r="B17" s="6" t="n">
        <x:v>1132878.93</x:v>
      </x:c>
      <x:c r="C17" s="1" t="n">
        <x:v>6798</x:v>
      </x:c>
      <x:c r="D17" s="1" t="n">
        <x:v>6744</x:v>
      </x:c>
      <x:c r="E17" s="7" t="n">
        <x:v>166.64885701676963</x:v>
      </x:c>
      <x:c r="F17" s="8" t="n">
        <x:v>1.1513680494263019</x:v>
      </x:c>
      <x:c r="G17" s="9" t="n">
        <x:v>0.9468961459252722</x:v>
      </x:c>
      <x:c r="H17" s="8" t="n">
        <x:v>4.2062351895734595</x:v>
      </x:c>
      <x:c r="I17" s="9" t="n">
        <x:v>0.03177405119152692</x:v>
      </x:c>
      <x:c r="J17" s="9" t="n">
        <x:v>0.0109590480884568</x:v>
      </x:c>
      <x:c r="K17" s="9" t="n">
        <x:v>-0.02927316864201057</x:v>
      </x:c>
      <x:c r="L17" s="9" t="n">
        <x:v>0.0414454565700886</x:v>
      </x:c>
    </x:row>
    <x:row r="18">
      <x:c r="A18" s="1" t="str">
        <x:v>2018-05-01</x:v>
      </x:c>
      <x:c r="B18" s="6" t="n">
        <x:v>1128774.52</x:v>
      </x:c>
      <x:c r="C18" s="1" t="n">
        <x:v>6749</x:v>
      </x:c>
      <x:c r="D18" s="1" t="n">
        <x:v>6693</x:v>
      </x:c>
      <x:c r="E18" s="7" t="n">
        <x:v>167.2506326863239</x:v>
      </x:c>
      <x:c r="F18" s="8" t="n">
        <x:v>1.1572084753296785</x:v>
      </x:c>
      <x:c r="G18" s="9" t="n">
        <x:v>0.9176174248036746</x:v>
      </x:c>
      <x:c r="H18" s="8" t="n">
        <x:v>4.236239214519488</x:v>
      </x:c>
      <x:c r="I18" s="9" t="n">
        <x:v>0.03600533412357386</x:v>
      </x:c>
      <x:c r="J18" s="9" t="n">
        <x:v>-0.003622990852164582</x:v>
      </x:c>
      <x:c r="K18" s="9" t="n">
        <x:v>-0.007208002353633422</x:v>
      </x:c>
      <x:c r="L18" s="9" t="n">
        <x:v>0.0036110398854623</x:v>
      </x:c>
    </x:row>
    <x:row r="19">
      <x:c r="A19" s="1" t="str">
        <x:v>2018-06-01</x:v>
      </x:c>
      <x:c r="B19" s="6" t="n">
        <x:v>1011978.29</x:v>
      </x:c>
      <x:c r="C19" s="1" t="n">
        <x:v>6099</x:v>
      </x:c>
      <x:c r="D19" s="1" t="n">
        <x:v>6061</x:v>
      </x:c>
      <x:c r="E19" s="7" t="n">
        <x:v>165.9252811936383</x:v>
      </x:c>
      <x:c r="F19" s="8" t="n">
        <x:v>1.1493687489752418</x:v>
      </x:c>
      <x:c r="G19" s="9" t="n">
        <x:v>0.9863845144356955</x:v>
      </x:c>
      <x:c r="H19" s="8" t="n">
        <x:v>4.306995884773663</x:v>
      </x:c>
      <x:c r="I19" s="9" t="n">
        <x:v>0.03623544843416954</x:v>
      </x:c>
      <x:c r="J19" s="9" t="n">
        <x:v>-0.10347171018707971</x:v>
      </x:c>
      <x:c r="K19" s="9" t="n">
        <x:v>-0.09631056452807824</x:v>
      </x:c>
      <x:c r="L19" s="9" t="n">
        <x:v>-0.007924343671520069</x:v>
      </x:c>
    </x:row>
    <x:row r="20">
      <x:c r="A20" s="1" t="str">
        <x:v>2018-07-01</x:v>
      </x:c>
      <x:c r="B20" s="6" t="n">
        <x:v>1027807.28</x:v>
      </x:c>
      <x:c r="C20" s="1" t="n">
        <x:v>6159</x:v>
      </x:c>
      <x:c r="D20" s="1" t="n">
        <x:v>6100</x:v>
      </x:c>
      <x:c r="E20" s="7" t="n">
        <x:v>166.8789219029063</x:v>
      </x:c>
      <x:c r="F20" s="8" t="n">
        <x:v>1.1305406721870435</x:v>
      </x:c>
      <x:c r="G20" s="9" t="n">
        <x:v>0.9551656920077972</x:v>
      </x:c>
      <x:c r="H20" s="8" t="n">
        <x:v>4.318085280182976</x:v>
      </x:c>
      <x:c r="I20" s="9" t="n">
        <x:v>0.034096444227959086</x:v>
      </x:c>
      <x:c r="J20" s="9" t="n">
        <x:v>0.0156416300195531</x:v>
      </x:c>
      <x:c r="K20" s="9" t="n">
        <x:v>0.0098376783079193</x:v>
      </x:c>
      <x:c r="L20" s="9" t="n">
        <x:v>0.0057474105356802</x:v>
      </x:c>
    </x:row>
    <x:row r="21">
      <x:c r="A21" s="1" t="str">
        <x:v>2018-08-01</x:v>
      </x:c>
      <x:c r="B21" s="6" t="n">
        <x:v>985491.64</x:v>
      </x:c>
      <x:c r="C21" s="1" t="n">
        <x:v>6351</x:v>
      </x:c>
      <x:c r="D21" s="1" t="n">
        <x:v>6310</x:v>
      </x:c>
      <x:c r="E21" s="7" t="n">
        <x:v>155.17109746496615</x:v>
      </x:c>
      <x:c r="F21" s="8" t="n">
        <x:v>1.1245473153834042</x:v>
      </x:c>
      <x:c r="G21" s="9" t="n">
        <x:v>0.8960793575814833</x:v>
      </x:c>
      <x:c r="H21" s="8" t="n">
        <x:v>4.310347551342812</x:v>
      </x:c>
      <x:c r="I21" s="9" t="n">
        <x:v>0.03259329239489844</x:v>
      </x:c>
      <x:c r="J21" s="9" t="n">
        <x:v>-0.04117079225202608</x:v>
      </x:c>
      <x:c r="K21" s="9" t="n">
        <x:v>0.0311738918655626</x:v>
      </x:c>
      <x:c r="L21" s="9" t="n">
        <x:v>-0.07015759872149718</x:v>
      </x:c>
    </x:row>
  </x:sheetData>
  <x:pageMargins left="0.7" right="0.7" top="0.75" bottom="0.75" header="0.3" footer="0.3"/>
  <x:tableParts count="1">
    <x:tablePart xmlns:r="http://schemas.openxmlformats.org/officeDocument/2006/relationships" r:id="R1349f515cf9545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6299991607666" hidden="0" customWidth="1"/>
    <x:col min="2" max="2" width="9.380000114440918" hidden="0" customWidth="1"/>
    <x:col min="3" max="3" width="16.8799991607666" hidden="0" customWidth="1"/>
  </x:cols>
  <x:sheetData>
    <x:row r="1" ht="34" customHeight="1">
      <x:c r="A1" s="5" t="str">
        <x:v>﻿driver</x:v>
      </x:c>
      <x:c r="B1" s="5" t="str">
        <x:v>impact</x:v>
      </x:c>
      <x:c r="C1" s="5" t="str">
        <x:v>contribution_to_growth</x:v>
      </x:c>
    </x:row>
    <x:row r="2">
      <x:c r="A2" s="1" t="str">
        <x:v>Efeito volume de pedidos</x:v>
      </x:c>
      <x:c r="B2" s="6" t="n">
        <x:v>4894704.335138315</x:v>
      </x:c>
      <x:c r="C2" s="9" t="n">
        <x:v>0.9831316584154641</x:v>
      </x:c>
    </x:row>
    <x:row r="3">
      <x:c r="A3" s="1" t="str">
        <x:v>Efeito ticket médio</x:v>
      </x:c>
      <x:c r="B3" s="6" t="n">
        <x:v>83982.18486168444</x:v>
      </x:c>
      <x:c r="C3" s="9" t="n">
        <x:v>0.01686834158453592</x:v>
      </x:c>
    </x:row>
  </x:sheetData>
  <x:pageMargins left="0.7" right="0.7" top="0.75" bottom="0.75" header="0.3" footer="0.3"/>
  <x:tableParts count="1">
    <x:tablePart xmlns:r="http://schemas.openxmlformats.org/officeDocument/2006/relationships" r:id="Re2d8bf49c5a246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130001068115234" hidden="0" customWidth="1"/>
    <x:col min="2" max="2" width="7.75" hidden="0" customWidth="1"/>
    <x:col min="3" max="3" width="7.75" hidden="0" customWidth="1"/>
    <x:col min="4" max="4" width="12" hidden="0" customWidth="1"/>
    <x:col min="5" max="5" width="10" hidden="0" customWidth="1"/>
    <x:col min="6" max="6" width="14.630000114440918" hidden="0" customWidth="1"/>
  </x:cols>
  <x:sheetData>
    <x:row r="1" ht="34" customHeight="1">
      <x:c r="A1" s="5" t="str">
        <x:v>﻿product_category</x:v>
      </x:c>
      <x:c r="B1" s="5" t="str">
        <x:v>gmv_2017</x:v>
      </x:c>
      <x:c r="C1" s="5" t="str">
        <x:v>gmv_2018</x:v>
      </x:c>
      <x:c r="D1" s="5" t="str">
        <x:v>absolute_growth</x:v>
      </x:c>
      <x:c r="E1" s="5" t="str">
        <x:v>growth_rate</x:v>
      </x:c>
      <x:c r="F1" s="5" t="str">
        <x:v>growth_contribution</x:v>
      </x:c>
    </x:row>
    <x:row r="2">
      <x:c r="A2" s="1" t="str">
        <x:v>health_beauty</x:v>
      </x:c>
      <x:c r="B2" s="6" t="n">
        <x:v>277874.38</x:v>
      </x:c>
      <x:c r="C2" s="6" t="n">
        <x:v>866810.34</x:v>
      </x:c>
      <x:c r="D2" s="6" t="n">
        <x:v>588935.96</x:v>
      </x:c>
      <x:c r="E2" s="9" t="n">
        <x:v>2.1194323852382504</x:v>
      </x:c>
      <x:c r="F2" s="9" t="n">
        <x:v>0.11829143241579307</x:v>
      </x:c>
    </x:row>
    <x:row r="3">
      <x:c r="A3" s="1" t="str">
        <x:v>watches_gifts</x:v>
      </x:c>
      <x:c r="B3" s="6" t="n">
        <x:v>215003.76</x:v>
      </x:c>
      <x:c r="C3" s="6" t="n">
        <x:v>749738.44</x:v>
      </x:c>
      <x:c r="D3" s="6" t="n">
        <x:v>534734.68</x:v>
      </x:c>
      <x:c r="E3" s="9" t="n">
        <x:v>2.4870945512766847</x:v>
      </x:c>
      <x:c r="F3" s="9" t="n">
        <x:v>0.10740476988296102</x:v>
      </x:c>
    </x:row>
    <x:row r="4">
      <x:c r="A4" s="1" t="str">
        <x:v>sports_leisure</x:v>
      </x:c>
      <x:c r="B4" s="6" t="n">
        <x:v>255777.42</x:v>
      </x:c>
      <x:c r="C4" s="6" t="n">
        <x:v>604393.87</x:v>
      </x:c>
      <x:c r="D4" s="6" t="n">
        <x:v>348616.45</x:v>
      </x:c>
      <x:c r="E4" s="9" t="n">
        <x:v>1.3629680446381858</x:v>
      </x:c>
      <x:c r="F4" s="9" t="n">
        <x:v>0.07002177152539421</x:v>
      </x:c>
    </x:row>
    <x:row r="5">
      <x:c r="A5" s="1" t="str">
        <x:v>bed_bath_table</x:v>
      </x:c>
      <x:c r="B5" s="6" t="n">
        <x:v>299674.21</x:v>
      </x:c>
      <x:c r="C5" s="6" t="n">
        <x:v>643653.48</x:v>
      </x:c>
      <x:c r="D5" s="6" t="n">
        <x:v>343979.27</x:v>
      </x:c>
      <x:c r="E5" s="9" t="n">
        <x:v>1.14784408708377</x:v>
      </x:c>
      <x:c r="F5" s="9" t="n">
        <x:v>0.06909036522347665</x:v>
      </x:c>
    </x:row>
    <x:row r="6">
      <x:c r="A6" s="1" t="str">
        <x:v>computers_accessories</x:v>
      </x:c>
      <x:c r="B6" s="6" t="n">
        <x:v>243931.69</x:v>
      </x:c>
      <x:c r="C6" s="6" t="n">
        <x:v>583989.37</x:v>
      </x:c>
      <x:c r="D6" s="6" t="n">
        <x:v>340057.68</x:v>
      </x:c>
      <x:c r="E6" s="9" t="n">
        <x:v>1.3940692986630805</x:v>
      </x:c>
      <x:c r="F6" s="9" t="n">
        <x:v>0.06830268960175465</x:v>
      </x:c>
    </x:row>
    <x:row r="7">
      <x:c r="A7" s="1" t="str">
        <x:v>housewares</x:v>
      </x:c>
      <x:c r="B7" s="6" t="n">
        <x:v>157015.48</x:v>
      </x:c>
      <x:c r="C7" s="6" t="n">
        <x:v>481661</x:v>
      </x:c>
      <x:c r="D7" s="6" t="n">
        <x:v>324645.52</x:v>
      </x:c>
      <x:c r="E7" s="9" t="n">
        <x:v>2.0676019969496</x:v>
      </x:c>
      <x:c r="F7" s="9" t="n">
        <x:v>0.06520706188185554</x:v>
      </x:c>
    </x:row>
    <x:row r="8">
      <x:c r="A8" s="1" t="str">
        <x:v>furniture_decor</x:v>
      </x:c>
      <x:c r="B8" s="6" t="n">
        <x:v>213154.24</x:v>
      </x:c>
      <x:c r="C8" s="6" t="n">
        <x:v>470024.38</x:v>
      </x:c>
      <x:c r="D8" s="6" t="n">
        <x:v>256870.14</x:v>
      </x:c>
      <x:c r="E8" s="9" t="n">
        <x:v>1.2050904546867094</x:v>
      </x:c>
      <x:c r="F8" s="9" t="n">
        <x:v>0.05159395735564407</x:v>
      </x:c>
    </x:row>
    <x:row r="9">
      <x:c r="A9" s="1" t="str">
        <x:v>auto</x:v>
      </x:c>
      <x:c r="B9" s="6" t="n">
        <x:v>142646.29</x:v>
      </x:c>
      <x:c r="C9" s="6" t="n">
        <x:v>399005.2</x:v>
      </x:c>
      <x:c r="D9" s="6" t="n">
        <x:v>256358.91</x:v>
      </x:c>
      <x:c r="E9" s="9" t="n">
        <x:v>1.7971649315239815</x:v>
      </x:c>
      <x:c r="F9" s="9" t="n">
        <x:v>0.05149127364620659</x:v>
      </x:c>
    </x:row>
    <x:row r="10">
      <x:c r="A10" s="1" t="str">
        <x:v>baby</x:v>
      </x:c>
      <x:c r="B10" s="6" t="n">
        <x:v>79591.79</x:v>
      </x:c>
      <x:c r="C10" s="6" t="n">
        <x:v>291738.08</x:v>
      </x:c>
      <x:c r="D10" s="6" t="n">
        <x:v>212146.29</x:v>
      </x:c>
      <x:c r="E10" s="9" t="n">
        <x:v>2.6654293112392624</x:v>
      </x:c>
      <x:c r="F10" s="9" t="n">
        <x:v>0.04261089529292156</x:v>
      </x:c>
    </x:row>
    <x:row r="11">
      <x:c r="A11" s="1" t="str">
        <x:v>telephony</x:v>
      </x:c>
      <x:c r="B11" s="6" t="n">
        <x:v>74204.24</x:v>
      </x:c>
      <x:c r="C11" s="6" t="n">
        <x:v>210591.56</x:v>
      </x:c>
      <x:c r="D11" s="6" t="n">
        <x:v>136387.32</x:v>
      </x:c>
      <x:c r="E11" s="9" t="n">
        <x:v>1.837999014611564</x:v>
      </x:c>
      <x:c r="F11" s="9" t="n">
        <x:v>0.027394237305786426</x:v>
      </x:c>
    </x:row>
    <x:row r="12">
      <x:c r="A12" s="1" t="str">
        <x:v>construction_tools_construction</x:v>
      </x:c>
      <x:c r="B12" s="6" t="n">
        <x:v>3289</x:v>
      </x:c>
      <x:c r="C12" s="6" t="n">
        <x:v>139485.17</x:v>
      </x:c>
      <x:c r="D12" s="6" t="n">
        <x:v>136196.17</x:v>
      </x:c>
      <x:c r="E12" s="9" t="n">
        <x:v>41.40959866220736</x:v>
      </x:c>
      <x:c r="F12" s="9" t="n">
        <x:v>0.027355843645283377</x:v>
      </x:c>
    </x:row>
    <x:row r="13">
      <x:c r="A13" s="1" t="str">
        <x:v>stationery</x:v>
      </x:c>
      <x:c r="B13" s="6" t="n">
        <x:v>43456.44</x:v>
      </x:c>
      <x:c r="C13" s="6" t="n">
        <x:v>160153.14</x:v>
      </x:c>
      <x:c r="D13" s="6" t="n">
        <x:v>116696.7</x:v>
      </x:c>
      <x:c r="E13" s="9" t="n">
        <x:v>2.685371834416257</x:v>
      </x:c>
      <x:c r="F13" s="9" t="n">
        <x:v>0.023439254416042245</x:v>
      </x:c>
    </x:row>
    <x:row r="14">
      <x:c r="A14" s="1" t="str">
        <x:v>electronics</x:v>
      </x:c>
      <x:c r="B14" s="6" t="n">
        <x:v>35264.76</x:v>
      </x:c>
      <x:c r="C14" s="6" t="n">
        <x:v>130466.34</x:v>
      </x:c>
      <x:c r="D14" s="6" t="n">
        <x:v>95201.58</x:v>
      </x:c>
      <x:c r="E14" s="9" t="n">
        <x:v>2.6996236469495325</x:v>
      </x:c>
      <x:c r="F14" s="9" t="n">
        <x:v>0.019121826533476945</x:v>
      </x:c>
    </x:row>
    <x:row r="15">
      <x:c r="A15" s="1" t="str">
        <x:v>garden_tools</x:v>
      </x:c>
      <x:c r="B15" s="6" t="n">
        <x:v>160575.87</x:v>
      </x:c>
      <x:c r="C15" s="6" t="n">
        <x:v>255458.17</x:v>
      </x:c>
      <x:c r="D15" s="6" t="n">
        <x:v>94882.3</x:v>
      </x:c>
      <x:c r="E15" s="9" t="n">
        <x:v>0.5908876595219444</x:v>
      </x:c>
      <x:c r="F15" s="9" t="n">
        <x:v>0.019057697169493612</x:v>
      </x:c>
    </x:row>
    <x:row r="16">
      <x:c r="A16" s="1" t="str">
        <x:v>pet_shop</x:v>
      </x:c>
      <x:c r="B16" s="6" t="n">
        <x:v>57802.49</x:v>
      </x:c>
      <x:c r="C16" s="6" t="n">
        <x:v>150689.25</x:v>
      </x:c>
      <x:c r="D16" s="6" t="n">
        <x:v>92886.76</x:v>
      </x:c>
      <x:c r="E16" s="9" t="n">
        <x:v>1.6069681427218794</x:v>
      </x:c>
      <x:c r="F16" s="9" t="n">
        <x:v>0.01865688061035022</x:v>
      </x:c>
    </x:row>
    <x:row r="17">
      <x:c r="A17" s="1" t="str">
        <x:v>office_furniture</x:v>
      </x:c>
      <x:c r="B17" s="6" t="n">
        <x:v>91287.66</x:v>
      </x:c>
      <x:c r="C17" s="6" t="n">
        <x:v>177904.36</x:v>
      </x:c>
      <x:c r="D17" s="6" t="n">
        <x:v>86616.7</x:v>
      </x:c>
      <x:c r="E17" s="9" t="n">
        <x:v>0.9488325147122842</x:v>
      </x:c>
      <x:c r="F17" s="9" t="n">
        <x:v>0.017397500254745905</x:v>
      </x:c>
    </x:row>
    <x:row r="18">
      <x:c r="A18" s="1" t="str">
        <x:v>home_appliances_2</x:v>
      </x:c>
      <x:c r="B18" s="6" t="n">
        <x:v>12261.91</x:v>
      </x:c>
      <x:c r="C18" s="6" t="n">
        <x:v>93872.4</x:v>
      </x:c>
      <x:c r="D18" s="6" t="n">
        <x:v>81610.49</x:v>
      </x:c>
      <x:c r="E18" s="9" t="n">
        <x:v>6.655609933525853</x:v>
      </x:c>
      <x:c r="F18" s="9" t="n">
        <x:v>0.016391971993448586</x:v>
      </x:c>
    </x:row>
    <x:row r="19">
      <x:c r="A19" s="1" t="str">
        <x:v>musical_instruments</x:v>
      </x:c>
      <x:c r="B19" s="6" t="n">
        <x:v>40176.54</x:v>
      </x:c>
      <x:c r="C19" s="6" t="n">
        <x:v>117344.82</x:v>
      </x:c>
      <x:c r="D19" s="6" t="n">
        <x:v>77168.28</x:v>
      </x:c>
      <x:c r="E19" s="9" t="n">
        <x:v>1.920729858768326</x:v>
      </x:c>
      <x:c r="F19" s="9" t="n">
        <x:v>0.015499726622675573</x:v>
      </x:c>
    </x:row>
    <x:row r="20">
      <x:c r="A20" s="1" t="str">
        <x:v>perfumery</x:v>
      </x:c>
      <x:c r="B20" s="6" t="n">
        <x:v>135109.55</x:v>
      </x:c>
      <x:c r="C20" s="6" t="n">
        <x:v>199968.19</x:v>
      </x:c>
      <x:c r="D20" s="6" t="n">
        <x:v>64858.64</x:v>
      </x:c>
      <x:c r="E20" s="9" t="n">
        <x:v>0.4800448228863171</x:v>
      </x:c>
      <x:c r="F20" s="9" t="n">
        <x:v>0.013027259245878369</x:v>
      </x:c>
    </x:row>
    <x:row r="21">
      <x:c r="A21" s="1" t="str">
        <x:v>home_construction</x:v>
      </x:c>
      <x:c r="B21" s="6" t="n">
        <x:v>7318.21</x:v>
      </x:c>
      <x:c r="C21" s="6" t="n">
        <x:v>67697.8</x:v>
      </x:c>
      <x:c r="D21" s="6" t="n">
        <x:v>60379.59</x:v>
      </x:c>
      <x:c r="E21" s="9" t="n">
        <x:v>8.25059543248964</x:v>
      </x:c>
      <x:c r="F21" s="9" t="n">
        <x:v>0.01212761433310728</x:v>
      </x:c>
    </x:row>
    <x:row r="22">
      <x:c r="A22" s="1" t="str">
        <x:v>toys</x:v>
      </x:c>
      <x:c r="B22" s="6" t="n">
        <x:v>137048.38</x:v>
      </x:c>
      <x:c r="C22" s="6" t="n">
        <x:v>196751.8</x:v>
      </x:c>
      <x:c r="D22" s="6" t="n">
        <x:v>59703.42</x:v>
      </x:c>
      <x:c r="E22" s="9" t="n">
        <x:v>0.435637546390552</x:v>
      </x:c>
      <x:c r="F22" s="9" t="n">
        <x:v>0.011991801403877102</x:v>
      </x:c>
    </x:row>
    <x:row r="23">
      <x:c r="A23" s="1" t="str">
        <x:v>home_appliances</x:v>
      </x:c>
      <x:c r="B23" s="6" t="n">
        <x:v>16552.93</x:v>
      </x:c>
      <x:c r="C23" s="6" t="n">
        <x:v>65717.04</x:v>
      </x:c>
      <x:c r="D23" s="6" t="n">
        <x:v>49164.11</x:v>
      </x:c>
      <x:c r="E23" s="9" t="n">
        <x:v>2.9701152605611214</x:v>
      </x:c>
      <x:c r="F23" s="9" t="n">
        <x:v>0.00987491576392723</x:v>
      </x:c>
    </x:row>
    <x:row r="24">
      <x:c r="A24" s="1" t="str">
        <x:v>small_appliances_home_oven_and_coffee</x:v>
      </x:c>
      <x:c r="B24" s="6" t="n">
        <x:v>122.4</x:v>
      </x:c>
      <x:c r="C24" s="6" t="n">
        <x:v>48450.03</x:v>
      </x:c>
      <x:c r="D24" s="6" t="n">
        <x:v>48327.63</x:v>
      </x:c>
      <x:c r="E24" s="9" t="n">
        <x:v>394.83357843137253</x:v>
      </x:c>
      <x:c r="F24" s="9" t="n">
        <x:v>0.00970690357905884</x:v>
      </x:c>
    </x:row>
    <x:row r="25">
      <x:c r="A25" s="1" t="str">
        <x:v>construction_tools_lights</x:v>
      </x:c>
      <x:c r="B25" s="6" t="n">
        <x:v>1072.43</x:v>
      </x:c>
      <x:c r="C25" s="6" t="n">
        <x:v>42651.18</x:v>
      </x:c>
      <x:c r="D25" s="6" t="n">
        <x:v>41578.75</x:v>
      </x:c>
      <x:c r="E25" s="9" t="n">
        <x:v>38.77059574983915</x:v>
      </x:c>
      <x:c r="F25" s="9" t="n">
        <x:v>0.008351349263098412</x:v>
      </x:c>
    </x:row>
    <x:row r="26">
      <x:c r="A26" s="1" t="str">
        <x:v>agro_industry_and_commerce</x:v>
      </x:c>
      <x:c r="B26" s="6" t="n">
        <x:v>5159.41</x:v>
      </x:c>
      <x:c r="C26" s="6" t="n">
        <x:v>45091.41</x:v>
      </x:c>
      <x:c r="D26" s="6" t="n">
        <x:v>39932</x:v>
      </x:c>
      <x:c r="E26" s="9" t="n">
        <x:v>7.739644649291295</x:v>
      </x:c>
      <x:c r="F26" s="9" t="n">
        <x:v>0.008020589334071992</x:v>
      </x:c>
    </x:row>
    <x:row r="27">
      <x:c r="A27" s="1" t="str">
        <x:v>fashion_bags_accessories</x:v>
      </x:c>
      <x:c r="B27" s="6" t="n">
        <x:v>45327.58</x:v>
      </x:c>
      <x:c r="C27" s="6" t="n">
        <x:v>83591.02</x:v>
      </x:c>
      <x:c r="D27" s="6" t="n">
        <x:v>38263.44</x:v>
      </x:c>
      <x:c r="E27" s="9" t="n">
        <x:v>0.8441536036117525</x:v>
      </x:c>
      <x:c r="F27" s="9" t="n">
        <x:v>0.007685448731566252</x:v>
      </x:c>
    </x:row>
    <x:row r="28">
      <x:c r="A28" s="1" t="str">
        <x:v>construction_tools_safety</x:v>
      </x:c>
      <x:c r="B28" s="6" t="n">
        <x:v>421.55</x:v>
      </x:c>
      <x:c r="C28" s="6" t="n">
        <x:v>33928.46</x:v>
      </x:c>
      <x:c r="D28" s="6" t="n">
        <x:v>33506.91</x:v>
      </x:c>
      <x:c r="E28" s="9" t="n">
        <x:v>79.48501957063219</x:v>
      </x:c>
      <x:c r="F28" s="9" t="n">
        <x:v>0.006730070243506715</x:v>
      </x:c>
    </x:row>
    <x:row r="29">
      <x:c r="A29" s="1" t="str">
        <x:v>industry_commerce_and_business</x:v>
      </x:c>
      <x:c r="B29" s="6" t="n">
        <x:v>2707.56</x:v>
      </x:c>
      <x:c r="C29" s="6" t="n">
        <x:v>35963.19</x:v>
      </x:c>
      <x:c r="D29" s="6" t="n">
        <x:v>33255.63</x:v>
      </x:c>
      <x:c r="E29" s="9" t="n">
        <x:v>12.282508974870362</x:v>
      </x:c>
      <x:c r="F29" s="9" t="n">
        <x:v>0.006679599100366737</x:v>
      </x:c>
    </x:row>
    <x:row r="30">
      <x:c r="A30" s="1" t="str">
        <x:v>cool_stuff</x:v>
      </x:c>
      <x:c r="B30" s="6" t="n">
        <x:v>232431.31</x:v>
      </x:c>
      <x:c r="C30" s="6" t="n">
        <x:v>260159.81</x:v>
      </x:c>
      <x:c r="D30" s="6" t="n">
        <x:v>27728.5</x:v>
      </x:c>
      <x:c r="E30" s="9" t="n">
        <x:v>0.1192976109802074</x:v>
      </x:c>
      <x:c r="F30" s="9" t="n">
        <x:v>0.005569440833161755</x:v>
      </x:c>
    </x:row>
    <x:row r="31">
      <x:c r="A31" s="1" t="str">
        <x:v>audio</x:v>
      </x:c>
      <x:c r="B31" s="6" t="n">
        <x:v>8784.36</x:v>
      </x:c>
      <x:c r="C31" s="6" t="n">
        <x:v>36258.83</x:v>
      </x:c>
      <x:c r="D31" s="6" t="n">
        <x:v>27474.47</x:v>
      </x:c>
      <x:c r="E31" s="9" t="n">
        <x:v>3.127657564125332</x:v>
      </x:c>
      <x:c r="F31" s="9" t="n">
        <x:v>0.005518417335502377</x:v>
      </x:c>
    </x:row>
    <x:row r="32">
      <x:c r="A32" s="1" t="str">
        <x:v>computers</x:v>
      </x:c>
      <x:c r="B32" s="6" t="n">
        <x:v>39317.87</x:v>
      </x:c>
      <x:c r="C32" s="6" t="n">
        <x:v>66423.13</x:v>
      </x:c>
      <x:c r="D32" s="6" t="n">
        <x:v>27105.26</x:v>
      </x:c>
      <x:c r="E32" s="9" t="n">
        <x:v>0.6893878025437288</x:v>
      </x:c>
      <x:c r="F32" s="9" t="n">
        <x:v>0.005444259222008619</x:v>
      </x:c>
    </x:row>
    <x:row r="33">
      <x:c r="A33" s="1" t="str">
        <x:v>kitchen_dining_laundry_garden_furniture</x:v>
      </x:c>
      <x:c r="B33" s="6" t="n">
        <x:v>6826.33</x:v>
      </x:c>
      <x:c r="C33" s="6" t="n">
        <x:v>33771.2</x:v>
      </x:c>
      <x:c r="D33" s="6" t="n">
        <x:v>26944.87</x:v>
      </x:c>
      <x:c r="E33" s="9" t="n">
        <x:v>3.9471971029821296</x:v>
      </x:c>
      <x:c r="F33" s="9" t="n">
        <x:v>0.005412043897875298</x:v>
      </x:c>
    </x:row>
    <x:row r="34">
      <x:c r="A34" s="1" t="str">
        <x:v>unknown</x:v>
      </x:c>
      <x:c r="B34" s="6" t="n">
        <x:v>57058.59</x:v>
      </x:c>
      <x:c r="C34" s="6" t="n">
        <x:v>82192.13</x:v>
      </x:c>
      <x:c r="D34" s="6" t="n">
        <x:v>25133.54</x:v>
      </x:c>
      <x:c r="E34" s="9" t="n">
        <x:v>0.4404865244654661</x:v>
      </x:c>
      <x:c r="F34" s="9" t="n">
        <x:v>0.005048227057284177</x:v>
      </x:c>
    </x:row>
    <x:row r="35">
      <x:c r="A35" s="1" t="str">
        <x:v>small_appliances</x:v>
      </x:c>
      <x:c r="B35" s="6" t="n">
        <x:v>70975.15</x:v>
      </x:c>
      <x:c r="C35" s="6" t="n">
        <x:v>93544.55</x:v>
      </x:c>
      <x:c r="D35" s="6" t="n">
        <x:v>22569.4</x:v>
      </x:c>
      <x:c r="E35" s="9" t="n">
        <x:v>0.3179901697988662</x:v>
      </x:c>
      <x:c r="F35" s="9" t="n">
        <x:v>0.004533203669147661</x:v>
      </x:c>
    </x:row>
    <x:row r="36">
      <x:c r="A36" s="1" t="str">
        <x:v>signaling_and_security</x:v>
      </x:c>
      <x:c r="B36" s="6" t="n">
        <x:v>2300.02</x:v>
      </x:c>
      <x:c r="C36" s="6" t="n">
        <x:v>22413.09</x:v>
      </x:c>
      <x:c r="D36" s="6" t="n">
        <x:v>20113.07</x:v>
      </x:c>
      <x:c r="E36" s="9" t="n">
        <x:v>8.744737002286936</x:v>
      </x:c>
      <x:c r="F36" s="9" t="n">
        <x:v>0.004039834586733531</x:v>
      </x:c>
    </x:row>
    <x:row r="37">
      <x:c r="A37" s="1" t="str">
        <x:v>consoles_games</x:v>
      </x:c>
      <x:c r="B37" s="6" t="n">
        <x:v>49008.35</x:v>
      </x:c>
      <x:c r="C37" s="6" t="n">
        <x:v>68981.47</x:v>
      </x:c>
      <x:c r="D37" s="6" t="n">
        <x:v>19973.12</x:v>
      </x:c>
      <x:c r="E37" s="9" t="n">
        <x:v>0.4075452448409302</x:v>
      </x:c>
      <x:c r="F37" s="9" t="n">
        <x:v>0.0040117247631007704</x:v>
      </x:c>
    </x:row>
    <x:row r="38">
      <x:c r="A38" s="1" t="str">
        <x:v>drinks</x:v>
      </x:c>
      <x:c r="B38" s="6" t="n">
        <x:v>1247.43</x:v>
      </x:c>
      <x:c r="C38" s="6" t="n">
        <x:v>21169.21</x:v>
      </x:c>
      <x:c r="D38" s="6" t="n">
        <x:v>19921.78</x:v>
      </x:c>
      <x:c r="E38" s="9" t="n">
        <x:v>15.970258852200123</x:v>
      </x:c>
      <x:c r="F38" s="9" t="n">
        <x:v>0.0040014128063640365</x:v>
      </x:c>
    </x:row>
    <x:row r="39">
      <x:c r="A39" s="1" t="str">
        <x:v>food</x:v>
      </x:c>
      <x:c r="B39" s="6" t="n">
        <x:v>6273.69</x:v>
      </x:c>
      <x:c r="C39" s="6" t="n">
        <x:v>25383.85</x:v>
      </x:c>
      <x:c r="D39" s="6" t="n">
        <x:v>19110.16</x:v>
      </x:c>
      <x:c r="E39" s="9" t="n">
        <x:v>3.046079739355945</x:v>
      </x:c>
      <x:c r="F39" s="9" t="n">
        <x:v>0.003838393906351027</x:v>
      </x:c>
    </x:row>
    <x:row r="40">
      <x:c r="A40" s="1" t="str">
        <x:v>fixed_telephony</x:v>
      </x:c>
      <x:c r="B40" s="6" t="n">
        <x:v>10047.6</x:v>
      </x:c>
      <x:c r="C40" s="6" t="n">
        <x:v>28965.98</x:v>
      </x:c>
      <x:c r="D40" s="6" t="n">
        <x:v>18918.38</x:v>
      </x:c>
      <x:c r="E40" s="9" t="n">
        <x:v>1.8828755125602135</x:v>
      </x:c>
      <x:c r="F40" s="9" t="n">
        <x:v>0.0037998737064489853</x:v>
      </x:c>
    </x:row>
    <x:row r="41">
      <x:c r="A41" s="1" t="str">
        <x:v>books_general_interest</x:v>
      </x:c>
      <x:c r="B41" s="6" t="n">
        <x:v>14045.9</x:v>
      </x:c>
      <x:c r="C41" s="6" t="n">
        <x:v>31882.51</x:v>
      </x:c>
      <x:c r="D41" s="6" t="n">
        <x:v>17836.61</x:v>
      </x:c>
      <x:c r="E41" s="9" t="n">
        <x:v>1.2698801785574438</x:v>
      </x:c>
      <x:c r="F41" s="9" t="n">
        <x:v>0.003582593507011966</x:v>
      </x:c>
    </x:row>
    <x:row r="42">
      <x:c r="A42" s="1" t="str">
        <x:v>luggage_accessories</x:v>
      </x:c>
      <x:c r="B42" s="6" t="n">
        <x:v>62057.47</x:v>
      </x:c>
      <x:c r="C42" s="6" t="n">
        <x:v>76558.68</x:v>
      </x:c>
      <x:c r="D42" s="6" t="n">
        <x:v>14501.21</x:v>
      </x:c>
      <x:c r="E42" s="9" t="n">
        <x:v>0.233673883256923</x:v>
      </x:c>
      <x:c r="F42" s="9" t="n">
        <x:v>0.0029126577746453495</x:v>
      </x:c>
    </x:row>
    <x:row r="43">
      <x:c r="A43" s="1" t="str">
        <x:v>furniture_living_room</x:v>
      </x:c>
      <x:c r="B43" s="6" t="n">
        <x:v>28309.09</x:v>
      </x:c>
      <x:c r="C43" s="6" t="n">
        <x:v>42565.39</x:v>
      </x:c>
      <x:c r="D43" s="6" t="n">
        <x:v>14256.3</x:v>
      </x:c>
      <x:c r="E43" s="9" t="n">
        <x:v>0.5035944285033535</x:v>
      </x:c>
      <x:c r="F43" s="9" t="n">
        <x:v>0.002863466085428492</x:v>
      </x:c>
    </x:row>
    <x:row r="44">
      <x:c r="A44" s="1" t="str">
        <x:v>books_technical</x:v>
      </x:c>
      <x:c r="B44" s="6" t="n">
        <x:v>2783.91</x:v>
      </x:c>
      <x:c r="C44" s="6" t="n">
        <x:v>16392.22</x:v>
      </x:c>
      <x:c r="D44" s="6" t="n">
        <x:v>13608.31</x:v>
      </x:c>
      <x:c r="E44" s="9" t="n">
        <x:v>4.888200408777583</x:v>
      </x:c>
      <x:c r="F44" s="9" t="n">
        <x:v>0.0027333132836007516</x:v>
      </x:c>
    </x:row>
    <x:row r="45">
      <x:c r="A45" s="1" t="str">
        <x:v>costruction_tools_garden</x:v>
      </x:c>
      <x:c r="B45" s="6" t="n">
        <x:v>6395.35</x:v>
      </x:c>
      <x:c r="C45" s="6" t="n">
        <x:v>19985.06</x:v>
      </x:c>
      <x:c r="D45" s="6" t="n">
        <x:v>13589.71</x:v>
      </x:c>
      <x:c r="E45" s="9" t="n">
        <x:v>2.124936086375257</x:v>
      </x:c>
      <x:c r="F45" s="9" t="n">
        <x:v>0.002729577358487716</x:v>
      </x:c>
    </x:row>
    <x:row r="46">
      <x:c r="A46" s="1" t="str">
        <x:v>costruction_tools_tools</x:v>
      </x:c>
      <x:c r="B46" s="6" t="n">
        <x:v>1582.57</x:v>
      </x:c>
      <x:c r="C46" s="6" t="n">
        <x:v>13448.2</x:v>
      </x:c>
      <x:c r="D46" s="6" t="n">
        <x:v>11865.63</x:v>
      </x:c>
      <x:c r="E46" s="9" t="n">
        <x:v>7.497696784344452</x:v>
      </x:c>
      <x:c r="F46" s="9" t="n">
        <x:v>0.0023832852203757547</x:v>
      </x:c>
    </x:row>
    <x:row r="47">
      <x:c r="A47" s="1" t="str">
        <x:v>art</x:v>
      </x:c>
      <x:c r="B47" s="6" t="n">
        <x:v>8732.23</x:v>
      </x:c>
      <x:c r="C47" s="6" t="n">
        <x:v>17660.83</x:v>
      </x:c>
      <x:c r="D47" s="6" t="n">
        <x:v>8928.6</x:v>
      </x:c>
      <x:c r="E47" s="9" t="n">
        <x:v>1.0224879555394213</x:v>
      </x:c>
      <x:c r="F47" s="9" t="n">
        <x:v>0.0017933645679704294</x:v>
      </x:c>
    </x:row>
    <x:row r="48">
      <x:c r="A48" s="1" t="str">
        <x:v>air_conditioning</x:v>
      </x:c>
      <x:c r="B48" s="6" t="n">
        <x:v>19979.17</x:v>
      </x:c>
      <x:c r="C48" s="6" t="n">
        <x:v>28483.88</x:v>
      </x:c>
      <x:c r="D48" s="6" t="n">
        <x:v>8504.71</x:v>
      </x:c>
      <x:c r="E48" s="9" t="n">
        <x:v>0.425678844516564</x:v>
      </x:c>
      <x:c r="F48" s="9" t="n">
        <x:v>0.0017082236380691026</x:v>
      </x:c>
    </x:row>
    <x:row r="49">
      <x:c r="A49" s="1" t="str">
        <x:v>food_drink</x:v>
      </x:c>
      <x:c r="B49" s="6" t="n">
        <x:v>1784.81</x:v>
      </x:c>
      <x:c r="C49" s="6" t="n">
        <x:v>10018.68</x:v>
      </x:c>
      <x:c r="D49" s="6" t="n">
        <x:v>8233.87</x:v>
      </x:c>
      <x:c r="E49" s="9" t="n">
        <x:v>4.613303376830027</x:v>
      </x:c>
      <x:c r="F49" s="9" t="n">
        <x:v>0.0016538237478747708</x:v>
      </x:c>
    </x:row>
    <x:row r="50">
      <x:c r="A50" s="1" t="str">
        <x:v>christmas_supplies</x:v>
      </x:c>
      <x:c r="B50" s="6" t="n">
        <x:v>515.15</x:v>
      </x:c>
      <x:c r="C50" s="6" t="n">
        <x:v>8028.15</x:v>
      </x:c>
      <x:c r="D50" s="6" t="n">
        <x:v>7513</x:v>
      </x:c>
      <x:c r="E50" s="9" t="n">
        <x:v>14.58410171794623</x:v>
      </x:c>
      <x:c r="F50" s="9" t="n">
        <x:v>0.0015090325470019752</x:v>
      </x:c>
    </x:row>
    <x:row r="51">
      <x:c r="A51" s="1" t="str">
        <x:v>furniture_bedroom</x:v>
      </x:c>
      <x:c r="B51" s="6" t="n">
        <x:v>6563.64</x:v>
      </x:c>
      <x:c r="C51" s="6" t="n">
        <x:v>13511.03</x:v>
      </x:c>
      <x:c r="D51" s="6" t="n">
        <x:v>6947.39</x:v>
      </x:c>
      <x:c r="E51" s="9" t="n">
        <x:v>1.0584660340908398</x:v>
      </x:c>
      <x:c r="F51" s="9" t="n">
        <x:v>0.0013954262780135835</x:v>
      </x:c>
    </x:row>
    <x:row r="52">
      <x:c r="A52" s="1" t="str">
        <x:v>cine_photo</x:v>
      </x:c>
      <x:c r="B52" s="6" t="n">
        <x:v>466.17</x:v>
      </x:c>
      <x:c r="C52" s="6" t="n">
        <x:v>6966.23</x:v>
      </x:c>
      <x:c r="D52" s="6" t="n">
        <x:v>6500.06</x:v>
      </x:c>
      <x:c r="E52" s="9" t="n">
        <x:v>13.94353991033314</x:v>
      </x:c>
      <x:c r="F52" s="9" t="n">
        <x:v>0.0013055772790450764</x:v>
      </x:c>
    </x:row>
    <x:row r="53">
      <x:c r="A53" s="1" t="str">
        <x:v>portateis_cozinha_e_preparadores_de_alimentos</x:v>
      </x:c>
      <x:c r="B53" s="6" t="n">
        <x:v>0</x:v>
      </x:c>
      <x:c r="C53" s="6" t="n">
        <x:v>4228.05</x:v>
      </x:c>
      <x:c r="D53" s="6" t="n">
        <x:v>4228.05</x:v>
      </x:c>
      <x:c r="E53" s="9" t="str"/>
      <x:c r="F53" s="9" t="n">
        <x:v>0.0008492300093639959</x:v>
      </x:c>
    </x:row>
    <x:row r="54">
      <x:c r="A54" s="1" t="str">
        <x:v>books_imported</x:v>
      </x:c>
      <x:c r="B54" s="6" t="n">
        <x:v>232.97</x:v>
      </x:c>
      <x:c r="C54" s="6" t="n">
        <x:v>4038.14</x:v>
      </x:c>
      <x:c r="D54" s="6" t="n">
        <x:v>3805.17</x:v>
      </x:c>
      <x:c r="E54" s="9" t="n">
        <x:v>16.33330471734558</x:v>
      </x:c>
      <x:c r="F54" s="9" t="n">
        <x:v>0.0007642919442134308</x:v>
      </x:c>
    </x:row>
    <x:row r="55">
      <x:c r="A55" s="1" t="str">
        <x:v>music</x:v>
      </x:c>
      <x:c r="B55" s="6" t="n">
        <x:v>1660.25</x:v>
      </x:c>
      <x:c r="C55" s="6" t="n">
        <x:v>4994.58</x:v>
      </x:c>
      <x:c r="D55" s="6" t="n">
        <x:v>3334.33</x:v>
      </x:c>
      <x:c r="E55" s="9" t="n">
        <x:v>2.008330070772474</x:v>
      </x:c>
      <x:c r="F55" s="9" t="n">
        <x:v>0.0006697208162445222</x:v>
      </x:c>
    </x:row>
    <x:row r="56">
      <x:c r="A56" s="1" t="str">
        <x:v>party_supplies</x:v>
      </x:c>
      <x:c r="B56" s="6" t="n">
        <x:v>83.41</x:v>
      </x:c>
      <x:c r="C56" s="6" t="n">
        <x:v>3278.41</x:v>
      </x:c>
      <x:c r="D56" s="6" t="n">
        <x:v>3195</x:v>
      </x:c>
      <x:c r="E56" s="9" t="n">
        <x:v>38.30475962114854</x:v>
      </x:c>
      <x:c r="F56" s="9" t="n">
        <x:v>0.0006417355234488634</x:v>
      </x:c>
    </x:row>
    <x:row r="57">
      <x:c r="A57" s="1" t="str">
        <x:v>arts_and_craftmanship</x:v>
      </x:c>
      <x:c r="B57" s="6" t="n">
        <x:v>175.22</x:v>
      </x:c>
      <x:c r="C57" s="6" t="n">
        <x:v>2008.92</x:v>
      </x:c>
      <x:c r="D57" s="6" t="n">
        <x:v>1833.7</x:v>
      </x:c>
      <x:c r="E57" s="9" t="n">
        <x:v>10.46512955142107</x:v>
      </x:c>
      <x:c r="F57" s="9" t="n">
        <x:v>0.0003683099935362068</x:v>
      </x:c>
    </x:row>
    <x:row r="58">
      <x:c r="A58" s="1" t="str">
        <x:v>diapers_and_hygiene</x:v>
      </x:c>
      <x:c r="B58" s="6" t="n">
        <x:v>0</x:v>
      </x:c>
      <x:c r="C58" s="6" t="n">
        <x:v>1795.5</x:v>
      </x:c>
      <x:c r="D58" s="6" t="n">
        <x:v>1795.5</x:v>
      </x:c>
      <x:c r="E58" s="9" t="str"/>
      <x:c r="F58" s="9" t="n">
        <x:v>0.00036063728712126266</x:v>
      </x:c>
    </x:row>
    <x:row r="59">
      <x:c r="A59" s="1" t="str">
        <x:v>flowers</x:v>
      </x:c>
      <x:c r="B59" s="6" t="n">
        <x:v>0</x:v>
      </x:c>
      <x:c r="C59" s="6" t="n">
        <x:v>1216.64</x:v>
      </x:c>
      <x:c r="D59" s="6" t="n">
        <x:v>1216.64</x:v>
      </x:c>
      <x:c r="E59" s="9" t="str"/>
      <x:c r="F59" s="9" t="n">
        <x:v>0.0002443696736303052</x:v>
      </x:c>
    </x:row>
    <x:row r="60">
      <x:c r="A60" s="1" t="str">
        <x:v>furniture_mattress_and_upholstery</x:v>
      </x:c>
      <x:c r="B60" s="6" t="n">
        <x:v>1674.87</x:v>
      </x:c>
      <x:c r="C60" s="6" t="n">
        <x:v>2594.85</x:v>
      </x:c>
      <x:c r="D60" s="6" t="n">
        <x:v>919.98</x:v>
      </x:c>
      <x:c r="E60" s="9" t="n">
        <x:v>0.5492844220745491</x:v>
      </x:c>
      <x:c r="F60" s="9" t="n">
        <x:v>0.00018478367663927553</x:v>
      </x:c>
    </x:row>
    <x:row r="61">
      <x:c r="A61" s="1" t="str">
        <x:v>pc_gamer</x:v>
      </x:c>
      <x:c r="B61" s="6" t="n">
        <x:v>584.06</x:v>
      </x:c>
      <x:c r="C61" s="6" t="n">
        <x:v>846.04</x:v>
      </x:c>
      <x:c r="D61" s="6" t="n">
        <x:v>261.98</x:v>
      </x:c>
      <x:c r="E61" s="9" t="n">
        <x:v>0.4485498065267267</x:v>
      </x:c>
      <x:c r="F61" s="9" t="n">
        <x:v>0.00005262030436091807</x:v>
      </x:c>
    </x:row>
    <x:row r="62">
      <x:c r="A62" s="1" t="str">
        <x:v>fashion_childrens_clothes</x:v>
      </x:c>
      <x:c r="B62" s="6" t="n">
        <x:v>243.48</x:v>
      </x:c>
      <x:c r="C62" s="6" t="n">
        <x:v>194.04</x:v>
      </x:c>
      <x:c r="D62" s="6" t="n">
        <x:v>-49.44</x:v>
      </x:c>
      <x:c r="E62" s="9" t="n">
        <x:v>-0.20305569245933958</x:v>
      </x:c>
      <x:c r="F62" s="9" t="n">
        <x:v>-0.00000993032997787537</x:v>
      </x:c>
    </x:row>
    <x:row r="63">
      <x:c r="A63" s="1" t="str">
        <x:v>security_and_services</x:v>
      </x:c>
      <x:c r="B63" s="6" t="n">
        <x:v>209.06</x:v>
      </x:c>
      <x:c r="C63" s="6" t="n">
        <x:v>0</x:v>
      </x:c>
      <x:c r="D63" s="6" t="n">
        <x:v>-209.06</x:v>
      </x:c>
      <x:c r="E63" s="9" t="str"/>
      <x:c r="F63" s="9" t="n">
        <x:v>-0.00004199099484576506</x:v>
      </x:c>
    </x:row>
    <x:row r="64">
      <x:c r="A64" s="1" t="str">
        <x:v>fashion_underwear_beach</x:v>
      </x:c>
      <x:c r="B64" s="6" t="n">
        <x:v>3284.18</x:v>
      </x:c>
      <x:c r="C64" s="6" t="n">
        <x:v>3043.23</x:v>
      </x:c>
      <x:c r="D64" s="6" t="n">
        <x:v>-240.95</x:v>
      </x:c>
      <x:c r="E64" s="9" t="n">
        <x:v>-0.0733668678330664</x:v>
      </x:c>
      <x:c r="F64" s="9" t="n">
        <x:v>-0.00004839629870892132</x:v>
      </x:c>
    </x:row>
    <x:row r="65">
      <x:c r="A65" s="1" t="str">
        <x:v>home_confort</x:v>
      </x:c>
      <x:c r="B65" s="6" t="n">
        <x:v>24287.19</x:v>
      </x:c>
      <x:c r="C65" s="6" t="n">
        <x:v>24015</x:v>
      </x:c>
      <x:c r="D65" s="6" t="n">
        <x:v>-272.19</x:v>
      </x:c>
      <x:c r="E65" s="9" t="n">
        <x:v>-0.011207142530692106</x:v>
      </x:c>
      <x:c r="F65" s="9" t="n">
        <x:v>-0.00005467104604931021</x:v>
      </x:c>
    </x:row>
    <x:row r="66">
      <x:c r="A66" s="1" t="str">
        <x:v>la_cuisine</x:v>
      </x:c>
      <x:c r="B66" s="6" t="n">
        <x:v>1199.75</x:v>
      </x:c>
      <x:c r="C66" s="6" t="n">
        <x:v>890.85</x:v>
      </x:c>
      <x:c r="D66" s="6" t="n">
        <x:v>-308.9</x:v>
      </x:c>
      <x:c r="E66" s="9" t="n">
        <x:v>-0.2574703063138154</x:v>
      </x:c>
      <x:c r="F66" s="9" t="n">
        <x:v>-0.00006204447674283377</x:v>
      </x:c>
    </x:row>
    <x:row r="67">
      <x:c r="A67" s="1" t="str">
        <x:v>home_comfort_2</x:v>
      </x:c>
      <x:c r="B67" s="6" t="n">
        <x:v>636.23</x:v>
      </x:c>
      <x:c r="C67" s="6" t="n">
        <x:v>283.91</x:v>
      </x:c>
      <x:c r="D67" s="6" t="n">
        <x:v>-352.32</x:v>
      </x:c>
      <x:c r="E67" s="9" t="n">
        <x:v>-0.5537620043066187</x:v>
      </x:c>
      <x:c r="F67" s="9" t="n">
        <x:v>-0.00007076565246369438</x:v>
      </x:c>
    </x:row>
    <x:row r="68">
      <x:c r="A68" s="1" t="str">
        <x:v>cds_dvds_musicals</x:v>
      </x:c>
      <x:c r="B68" s="6" t="n">
        <x:v>476.54</x:v>
      </x:c>
      <x:c r="C68" s="6" t="n">
        <x:v>117.58</x:v>
      </x:c>
      <x:c r="D68" s="6" t="n">
        <x:v>-358.96</x:v>
      </x:c>
      <x:c r="E68" s="9" t="n">
        <x:v>-0.7532631048810173</x:v>
      </x:c>
      <x:c r="F68" s="9" t="n">
        <x:v>-0.00007209933755781033</x:v>
      </x:c>
    </x:row>
    <x:row r="69">
      <x:c r="A69" s="1" t="str">
        <x:v>fashio_female_clothing</x:v>
      </x:c>
      <x:c r="B69" s="6" t="n">
        <x:v>1850.96</x:v>
      </x:c>
      <x:c r="C69" s="6" t="n">
        <x:v>783.37</x:v>
      </x:c>
      <x:c r="D69" s="6" t="n">
        <x:v>-1067.59</x:v>
      </x:c>
      <x:c r="E69" s="9" t="n">
        <x:v>-0.576776375502442</x:v>
      </x:c>
      <x:c r="F69" s="9" t="n">
        <x:v>-0.00021443205867880189</x:v>
      </x:c>
    </x:row>
    <x:row r="70">
      <x:c r="A70" s="1" t="str">
        <x:v>fashion_sport</x:v>
      </x:c>
      <x:c r="B70" s="6" t="n">
        <x:v>1512.48</x:v>
      </x:c>
      <x:c r="C70" s="6" t="n">
        <x:v>431.19</x:v>
      </x:c>
      <x:c r="D70" s="6" t="n">
        <x:v>-1081.29</x:v>
      </x:c>
      <x:c r="E70" s="9" t="n">
        <x:v>-0.7149119327197715</x:v>
      </x:c>
      <x:c r="F70" s="9" t="n">
        <x:v>-0.0002171837884663604</x:v>
      </x:c>
    </x:row>
    <x:row r="71">
      <x:c r="A71" s="1" t="str">
        <x:v>fashion_shoes</x:v>
      </x:c>
      <x:c r="B71" s="6" t="n">
        <x:v>11012.05</x:v>
      </x:c>
      <x:c r="C71" s="6" t="n">
        <x:v>9879.77</x:v>
      </x:c>
      <x:c r="D71" s="6" t="n">
        <x:v>-1132.28</x:v>
      </x:c>
      <x:c r="E71" s="9" t="n">
        <x:v>-0.10282190872725787</x:v>
      </x:c>
      <x:c r="F71" s="9" t="n">
        <x:v>-0.00022742544553698874</x:v>
      </x:c>
    </x:row>
    <x:row r="72">
      <x:c r="A72" s="1" t="str">
        <x:v>dvds_blu_ray</x:v>
      </x:c>
      <x:c r="B72" s="6" t="n">
        <x:v>3453.67</x:v>
      </x:c>
      <x:c r="C72" s="6" t="n">
        <x:v>1674.85</x:v>
      </x:c>
      <x:c r="D72" s="6" t="n">
        <x:v>-1778.82</x:v>
      </x:c>
      <x:c r="E72" s="9" t="n">
        <x:v>-0.5150521039937226</x:v>
      </x:c>
      <x:c r="F72" s="9" t="n">
        <x:v>-0.00035728700589086296</x:v>
      </x:c>
    </x:row>
    <x:row r="73">
      <x:c r="A73" s="1" t="str">
        <x:v>fashion_male_clothing</x:v>
      </x:c>
      <x:c r="B73" s="6" t="n">
        <x:v>5589.44</x:v>
      </x:c>
      <x:c r="C73" s="6" t="n">
        <x:v>2810.41</x:v>
      </x:c>
      <x:c r="D73" s="6" t="n">
        <x:v>-2779.03</x:v>
      </x:c>
      <x:c r="E73" s="9" t="n">
        <x:v>-0.4971929209366234</x:v>
      </x:c>
      <x:c r="F73" s="9" t="n">
        <x:v>-0.0005581853745634099</x:v>
      </x:c>
    </x:row>
    <x:row r="74">
      <x:c r="A74" s="1" t="str">
        <x:v>tablets_printing_image</x:v>
      </x:c>
      <x:c r="B74" s="6" t="n">
        <x:v>5904.3</x:v>
      </x:c>
      <x:c r="C74" s="6" t="n">
        <x:v>1541.83</x:v>
      </x:c>
      <x:c r="D74" s="6" t="n">
        <x:v>-4362.47</x:v>
      </x:c>
      <x:c r="E74" s="9" t="n">
        <x:v>-0.738863201395593</x:v>
      </x:c>
      <x:c r="F74" s="9" t="n">
        <x:v>-0.0008762290982722889</x:v>
      </x:c>
    </x:row>
    <x:row r="75">
      <x:c r="A75" s="1" t="str">
        <x:v>market_place</x:v>
      </x:c>
      <x:c r="B75" s="6" t="n">
        <x:v>17513.81</x:v>
      </x:c>
      <x:c r="C75" s="6" t="n">
        <x:v>9364.01</x:v>
      </x:c>
      <x:c r="D75" s="6" t="n">
        <x:v>-8149.8</x:v>
      </x:c>
      <x:c r="E75" s="9" t="n">
        <x:v>-0.4653356408457098</x:v>
      </x:c>
      <x:c r="F75" s="9" t="n">
        <x:v>-0.0016369377680762274</x:v>
      </x:c>
    </x:row>
  </x:sheetData>
  <x:pageMargins left="0.7" right="0.7" top="0.75" bottom="0.75" header="0.3" footer="0.3"/>
  <x:tableParts count="1">
    <x:tablePart xmlns:r="http://schemas.openxmlformats.org/officeDocument/2006/relationships" r:id="R37bd43a74f114a3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4" customHeight="1">
      <x:c r="A1" s="5" t="str">
        <x:v>﻿segment</x:v>
      </x:c>
      <x:c r="B1" s="5" t="str">
        <x:v>customers</x:v>
      </x:c>
      <x:c r="C1" s="5" t="str">
        <x:v>average_recency_days</x:v>
      </x:c>
      <x:c r="D1" s="5" t="str">
        <x:v>average_frequency</x:v>
      </x:c>
      <x:c r="E1" s="5" t="str">
        <x:v>average_monetary</x:v>
      </x:c>
      <x:c r="F1" s="5" t="str">
        <x:v>total_gmv</x:v>
      </x:c>
      <x:c r="G1" s="5" t="str">
        <x:v>average_review</x:v>
      </x:c>
    </x:row>
    <x:row r="2">
      <x:c r="A2" s="1" t="str">
        <x:v>Alto valor inativos</x:v>
      </x:c>
      <x:c r="B2" s="1" t="n">
        <x:v>35601</x:v>
      </x:c>
      <x:c r="C2" s="10" t="n">
        <x:v>285.39673042892053</x:v>
      </x:c>
      <x:c r="D2" s="10" t="n">
        <x:v>1</x:v>
      </x:c>
      <x:c r="E2" s="6" t="n">
        <x:v>262.45033931631133</x:v>
      </x:c>
      <x:c r="F2" s="6" t="n">
        <x:v>9343494.53</x:v>
      </x:c>
      <x:c r="G2" s="8" t="n">
        <x:v>4.051265715256541</x:v>
      </x:c>
    </x:row>
    <x:row r="3">
      <x:c r="A3" s="1" t="str">
        <x:v>Inativos de baixo valor</x:v>
      </x:c>
      <x:c r="B3" s="1" t="n">
        <x:v>37487</x:v>
      </x:c>
      <x:c r="C3" s="10" t="n">
        <x:v>289.5691573078667</x:v>
      </x:c>
      <x:c r="D3" s="10" t="n">
        <x:v>1</x:v>
      </x:c>
      <x:c r="E3" s="6" t="n">
        <x:v>63.399409395257024</x:v>
      </x:c>
      <x:c r="F3" s="6" t="n">
        <x:v>2376653.66</x:v>
      </x:c>
      <x:c r="G3" s="8" t="n">
        <x:v>4.1739089591497125</x:v>
      </x:c>
    </x:row>
    <x:row r="4">
      <x:c r="A4" s="1" t="str">
        <x:v>Recentes de alto valor</x:v>
      </x:c>
      <x:c r="B4" s="1" t="n">
        <x:v>8709</x:v>
      </x:c>
      <x:c r="C4" s="10" t="n">
        <x:v>47.54081984154323</x:v>
      </x:c>
      <x:c r="D4" s="10" t="n">
        <x:v>1</x:v>
      </x:c>
      <x:c r="E4" s="6" t="n">
        <x:v>262.1953094499943</x:v>
      </x:c>
      <x:c r="F4" s="6" t="n">
        <x:v>2283458.95</x:v>
      </x:c>
      <x:c r="G4" s="8" t="n">
        <x:v>4.286620530565167</x:v>
      </x:c>
    </x:row>
    <x:row r="5">
      <x:c r="A5" s="1" t="str">
        <x:v>Recorrentes em risco</x:v>
      </x:c>
      <x:c r="B5" s="1" t="n">
        <x:v>2197</x:v>
      </x:c>
      <x:c r="C5" s="10" t="n">
        <x:v>270.9535730541648</x:v>
      </x:c>
      <x:c r="D5" s="10" t="n">
        <x:v>2.1024123805188895</x:v>
      </x:c>
      <x:c r="E5" s="6" t="n">
        <x:v>305.2759444697314</x:v>
      </x:c>
      <x:c r="F5" s="6" t="n">
        <x:v>670691.25</x:v>
      </x:c>
      <x:c r="G5" s="8" t="n">
        <x:v>4.164380459069673</x:v>
      </x:c>
    </x:row>
    <x:row r="6">
      <x:c r="A6" s="1" t="str">
        <x:v>Recentes</x:v>
      </x:c>
      <x:c r="B6" s="1" t="n">
        <x:v>8760</x:v>
      </x:c>
      <x:c r="C6" s="10" t="n">
        <x:v>45.321575342465756</x:v>
      </x:c>
      <x:c r="D6" s="10" t="n">
        <x:v>1</x:v>
      </x:c>
      <x:c r="E6" s="6" t="n">
        <x:v>63.01131849315068</x:v>
      </x:c>
      <x:c r="F6" s="6" t="n">
        <x:v>551979.15</x:v>
      </x:c>
      <x:c r="G6" s="8" t="n">
        <x:v>4.332836334442023</x:v>
      </x:c>
    </x:row>
    <x:row r="7">
      <x:c r="A7" s="1" t="str">
        <x:v>Recorrentes ativos</x:v>
      </x:c>
      <x:c r="B7" s="1" t="n">
        <x:v>604</x:v>
      </x:c>
      <x:c r="C7" s="10" t="n">
        <x:v>47.688741721854306</x:v>
      </x:c>
      <x:c r="D7" s="10" t="n">
        <x:v>2.1556291390728477</x:v>
      </x:c>
      <x:c r="E7" s="6" t="n">
        <x:v>320.35796357615897</x:v>
      </x:c>
      <x:c r="F7" s="6" t="n">
        <x:v>193496.21</x:v>
      </x:c>
      <x:c r="G7" s="8" t="n">
        <x:v>4.355049668874172</x:v>
      </x:c>
    </x:row>
  </x:sheetData>
  <x:pageMargins left="0.7" right="0.7" top="0.75" bottom="0.75" header="0.3" footer="0.3"/>
  <x:tableParts count="1">
    <x:tablePart xmlns:r="http://schemas.openxmlformats.org/officeDocument/2006/relationships" r:id="Refb8f58c53594b8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4" customHeight="1">
      <x:c r="A1" s="5" t="str">
        <x:v>﻿cohort_month</x:v>
      </x:c>
      <x:c r="B1" s="5" t="str">
        <x:v>activity_month</x:v>
      </x:c>
      <x:c r="C1" s="5" t="str">
        <x:v>months_since</x:v>
      </x:c>
      <x:c r="D1" s="5" t="str">
        <x:v>active_customers</x:v>
      </x:c>
      <x:c r="E1" s="5" t="str">
        <x:v>cohort_size</x:v>
      </x:c>
      <x:c r="F1" s="5" t="str">
        <x:v>retention_rate</x:v>
      </x:c>
    </x:row>
    <x:row r="2">
      <x:c r="A2" s="1" t="str">
        <x:v>2017-01-01</x:v>
      </x:c>
      <x:c r="B2" s="1" t="str">
        <x:v>2017-01-01</x:v>
      </x:c>
      <x:c r="C2" s="1" t="n">
        <x:v>0</x:v>
      </x:c>
      <x:c r="D2" s="1" t="n">
        <x:v>718</x:v>
      </x:c>
      <x:c r="E2" s="1" t="n">
        <x:v>718</x:v>
      </x:c>
      <x:c r="F2" s="9" t="n">
        <x:v>1</x:v>
      </x:c>
    </x:row>
    <x:row r="3">
      <x:c r="A3" s="1" t="str">
        <x:v>2017-01-01</x:v>
      </x:c>
      <x:c r="B3" s="1" t="str">
        <x:v>2017-02-01</x:v>
      </x:c>
      <x:c r="C3" s="1" t="n">
        <x:v>1</x:v>
      </x:c>
      <x:c r="D3" s="1" t="n">
        <x:v>2</x:v>
      </x:c>
      <x:c r="E3" s="1" t="n">
        <x:v>718</x:v>
      </x:c>
      <x:c r="F3" s="9" t="n">
        <x:v>0.002785515320334262</x:v>
      </x:c>
    </x:row>
    <x:row r="4">
      <x:c r="A4" s="1" t="str">
        <x:v>2017-01-01</x:v>
      </x:c>
      <x:c r="B4" s="1" t="str">
        <x:v>2017-03-01</x:v>
      </x:c>
      <x:c r="C4" s="1" t="n">
        <x:v>2</x:v>
      </x:c>
      <x:c r="D4" s="1" t="n">
        <x:v>2</x:v>
      </x:c>
      <x:c r="E4" s="1" t="n">
        <x:v>718</x:v>
      </x:c>
      <x:c r="F4" s="9" t="n">
        <x:v>0.002785515320334262</x:v>
      </x:c>
    </x:row>
    <x:row r="5">
      <x:c r="A5" s="1" t="str">
        <x:v>2017-01-01</x:v>
      </x:c>
      <x:c r="B5" s="1" t="str">
        <x:v>2017-04-01</x:v>
      </x:c>
      <x:c r="C5" s="1" t="n">
        <x:v>3</x:v>
      </x:c>
      <x:c r="D5" s="1" t="n">
        <x:v>1</x:v>
      </x:c>
      <x:c r="E5" s="1" t="n">
        <x:v>718</x:v>
      </x:c>
      <x:c r="F5" s="9" t="n">
        <x:v>0.001392757660167131</x:v>
      </x:c>
    </x:row>
    <x:row r="6">
      <x:c r="A6" s="1" t="str">
        <x:v>2017-01-01</x:v>
      </x:c>
      <x:c r="B6" s="1" t="str">
        <x:v>2017-05-01</x:v>
      </x:c>
      <x:c r="C6" s="1" t="n">
        <x:v>4</x:v>
      </x:c>
      <x:c r="D6" s="1" t="n">
        <x:v>3</x:v>
      </x:c>
      <x:c r="E6" s="1" t="n">
        <x:v>718</x:v>
      </x:c>
      <x:c r="F6" s="9" t="n">
        <x:v>0.004178272980501393</x:v>
      </x:c>
    </x:row>
    <x:row r="7">
      <x:c r="A7" s="1" t="str">
        <x:v>2017-01-01</x:v>
      </x:c>
      <x:c r="B7" s="1" t="str">
        <x:v>2017-06-01</x:v>
      </x:c>
      <x:c r="C7" s="1" t="n">
        <x:v>5</x:v>
      </x:c>
      <x:c r="D7" s="1" t="n">
        <x:v>1</x:v>
      </x:c>
      <x:c r="E7" s="1" t="n">
        <x:v>718</x:v>
      </x:c>
      <x:c r="F7" s="9" t="n">
        <x:v>0.001392757660167131</x:v>
      </x:c>
    </x:row>
    <x:row r="8">
      <x:c r="A8" s="1" t="str">
        <x:v>2017-01-01</x:v>
      </x:c>
      <x:c r="B8" s="1" t="str">
        <x:v>2017-07-01</x:v>
      </x:c>
      <x:c r="C8" s="1" t="n">
        <x:v>6</x:v>
      </x:c>
      <x:c r="D8" s="1" t="n">
        <x:v>3</x:v>
      </x:c>
      <x:c r="E8" s="1" t="n">
        <x:v>718</x:v>
      </x:c>
      <x:c r="F8" s="9" t="n">
        <x:v>0.004178272980501393</x:v>
      </x:c>
    </x:row>
    <x:row r="9">
      <x:c r="A9" s="1" t="str">
        <x:v>2017-01-01</x:v>
      </x:c>
      <x:c r="B9" s="1" t="str">
        <x:v>2017-08-01</x:v>
      </x:c>
      <x:c r="C9" s="1" t="n">
        <x:v>7</x:v>
      </x:c>
      <x:c r="D9" s="1" t="n">
        <x:v>1</x:v>
      </x:c>
      <x:c r="E9" s="1" t="n">
        <x:v>718</x:v>
      </x:c>
      <x:c r="F9" s="9" t="n">
        <x:v>0.001392757660167131</x:v>
      </x:c>
    </x:row>
    <x:row r="10">
      <x:c r="A10" s="1" t="str">
        <x:v>2017-01-01</x:v>
      </x:c>
      <x:c r="B10" s="1" t="str">
        <x:v>2017-09-01</x:v>
      </x:c>
      <x:c r="C10" s="1" t="n">
        <x:v>8</x:v>
      </x:c>
      <x:c r="D10" s="1" t="n">
        <x:v>1</x:v>
      </x:c>
      <x:c r="E10" s="1" t="n">
        <x:v>718</x:v>
      </x:c>
      <x:c r="F10" s="9" t="n">
        <x:v>0.001392757660167131</x:v>
      </x:c>
    </x:row>
    <x:row r="11">
      <x:c r="A11" s="1" t="str">
        <x:v>2017-01-01</x:v>
      </x:c>
      <x:c r="B11" s="1" t="str">
        <x:v>2017-11-01</x:v>
      </x:c>
      <x:c r="C11" s="1" t="n">
        <x:v>10</x:v>
      </x:c>
      <x:c r="D11" s="1" t="n">
        <x:v>3</x:v>
      </x:c>
      <x:c r="E11" s="1" t="n">
        <x:v>718</x:v>
      </x:c>
      <x:c r="F11" s="9" t="n">
        <x:v>0.004178272980501393</x:v>
      </x:c>
    </x:row>
    <x:row r="12">
      <x:c r="A12" s="1" t="str">
        <x:v>2017-01-01</x:v>
      </x:c>
      <x:c r="B12" s="1" t="str">
        <x:v>2017-12-01</x:v>
      </x:c>
      <x:c r="C12" s="1" t="n">
        <x:v>11</x:v>
      </x:c>
      <x:c r="D12" s="1" t="n">
        <x:v>1</x:v>
      </x:c>
      <x:c r="E12" s="1" t="n">
        <x:v>718</x:v>
      </x:c>
      <x:c r="F12" s="9" t="n">
        <x:v>0.001392757660167131</x:v>
      </x:c>
    </x:row>
    <x:row r="13">
      <x:c r="A13" s="1" t="str">
        <x:v>2017-01-01</x:v>
      </x:c>
      <x:c r="B13" s="1" t="str">
        <x:v>2018-01-01</x:v>
      </x:c>
      <x:c r="C13" s="1" t="n">
        <x:v>12</x:v>
      </x:c>
      <x:c r="D13" s="1" t="n">
        <x:v>5</x:v>
      </x:c>
      <x:c r="E13" s="1" t="n">
        <x:v>718</x:v>
      </x:c>
      <x:c r="F13" s="9" t="n">
        <x:v>0.006963788300835654</x:v>
      </x:c>
    </x:row>
    <x:row r="14">
      <x:c r="A14" s="1" t="str">
        <x:v>2017-01-01</x:v>
      </x:c>
      <x:c r="B14" s="1" t="str">
        <x:v>2018-02-01</x:v>
      </x:c>
      <x:c r="C14" s="1" t="n">
        <x:v>13</x:v>
      </x:c>
      <x:c r="D14" s="1" t="n">
        <x:v>3</x:v>
      </x:c>
      <x:c r="E14" s="1" t="n">
        <x:v>718</x:v>
      </x:c>
      <x:c r="F14" s="9" t="n">
        <x:v>0.004178272980501393</x:v>
      </x:c>
    </x:row>
    <x:row r="15">
      <x:c r="A15" s="1" t="str">
        <x:v>2017-01-01</x:v>
      </x:c>
      <x:c r="B15" s="1" t="str">
        <x:v>2018-03-01</x:v>
      </x:c>
      <x:c r="C15" s="1" t="n">
        <x:v>14</x:v>
      </x:c>
      <x:c r="D15" s="1" t="n">
        <x:v>1</x:v>
      </x:c>
      <x:c r="E15" s="1" t="n">
        <x:v>718</x:v>
      </x:c>
      <x:c r="F15" s="9" t="n">
        <x:v>0.001392757660167131</x:v>
      </x:c>
    </x:row>
    <x:row r="16">
      <x:c r="A16" s="1" t="str">
        <x:v>2017-01-01</x:v>
      </x:c>
      <x:c r="B16" s="1" t="str">
        <x:v>2018-04-01</x:v>
      </x:c>
      <x:c r="C16" s="1" t="n">
        <x:v>15</x:v>
      </x:c>
      <x:c r="D16" s="1" t="n">
        <x:v>1</x:v>
      </x:c>
      <x:c r="E16" s="1" t="n">
        <x:v>718</x:v>
      </x:c>
      <x:c r="F16" s="9" t="n">
        <x:v>0.001392757660167131</x:v>
      </x:c>
    </x:row>
    <x:row r="17">
      <x:c r="A17" s="1" t="str">
        <x:v>2017-01-01</x:v>
      </x:c>
      <x:c r="B17" s="1" t="str">
        <x:v>2018-05-01</x:v>
      </x:c>
      <x:c r="C17" s="1" t="n">
        <x:v>16</x:v>
      </x:c>
      <x:c r="D17" s="1" t="n">
        <x:v>2</x:v>
      </x:c>
      <x:c r="E17" s="1" t="n">
        <x:v>718</x:v>
      </x:c>
      <x:c r="F17" s="9" t="n">
        <x:v>0.002785515320334262</x:v>
      </x:c>
    </x:row>
    <x:row r="18">
      <x:c r="A18" s="1" t="str">
        <x:v>2017-01-01</x:v>
      </x:c>
      <x:c r="B18" s="1" t="str">
        <x:v>2018-06-01</x:v>
      </x:c>
      <x:c r="C18" s="1" t="n">
        <x:v>17</x:v>
      </x:c>
      <x:c r="D18" s="1" t="n">
        <x:v>3</x:v>
      </x:c>
      <x:c r="E18" s="1" t="n">
        <x:v>718</x:v>
      </x:c>
      <x:c r="F18" s="9" t="n">
        <x:v>0.004178272980501393</x:v>
      </x:c>
    </x:row>
    <x:row r="19">
      <x:c r="A19" s="1" t="str">
        <x:v>2017-01-01</x:v>
      </x:c>
      <x:c r="B19" s="1" t="str">
        <x:v>2018-08-01</x:v>
      </x:c>
      <x:c r="C19" s="1" t="n">
        <x:v>19</x:v>
      </x:c>
      <x:c r="D19" s="1" t="n">
        <x:v>1</x:v>
      </x:c>
      <x:c r="E19" s="1" t="n">
        <x:v>718</x:v>
      </x:c>
      <x:c r="F19" s="9" t="n">
        <x:v>0.001392757660167131</x:v>
      </x:c>
    </x:row>
    <x:row r="20">
      <x:c r="A20" s="1" t="str">
        <x:v>2017-02-01</x:v>
      </x:c>
      <x:c r="B20" s="1" t="str">
        <x:v>2017-02-01</x:v>
      </x:c>
      <x:c r="C20" s="1" t="n">
        <x:v>0</x:v>
      </x:c>
      <x:c r="D20" s="1" t="n">
        <x:v>1628</x:v>
      </x:c>
      <x:c r="E20" s="1" t="n">
        <x:v>1628</x:v>
      </x:c>
      <x:c r="F20" s="9" t="n">
        <x:v>1</x:v>
      </x:c>
    </x:row>
    <x:row r="21">
      <x:c r="A21" s="1" t="str">
        <x:v>2017-02-01</x:v>
      </x:c>
      <x:c r="B21" s="1" t="str">
        <x:v>2017-03-01</x:v>
      </x:c>
      <x:c r="C21" s="1" t="n">
        <x:v>1</x:v>
      </x:c>
      <x:c r="D21" s="1" t="n">
        <x:v>3</x:v>
      </x:c>
      <x:c r="E21" s="1" t="n">
        <x:v>1628</x:v>
      </x:c>
      <x:c r="F21" s="9" t="n">
        <x:v>0.0018427518427518428</x:v>
      </x:c>
    </x:row>
    <x:row r="22">
      <x:c r="A22" s="1" t="str">
        <x:v>2017-02-01</x:v>
      </x:c>
      <x:c r="B22" s="1" t="str">
        <x:v>2017-04-01</x:v>
      </x:c>
      <x:c r="C22" s="1" t="n">
        <x:v>2</x:v>
      </x:c>
      <x:c r="D22" s="1" t="n">
        <x:v>5</x:v>
      </x:c>
      <x:c r="E22" s="1" t="n">
        <x:v>1628</x:v>
      </x:c>
      <x:c r="F22" s="9" t="n">
        <x:v>0.003071253071253071</x:v>
      </x:c>
    </x:row>
    <x:row r="23">
      <x:c r="A23" s="1" t="str">
        <x:v>2017-02-01</x:v>
      </x:c>
      <x:c r="B23" s="1" t="str">
        <x:v>2017-05-01</x:v>
      </x:c>
      <x:c r="C23" s="1" t="n">
        <x:v>3</x:v>
      </x:c>
      <x:c r="D23" s="1" t="n">
        <x:v>2</x:v>
      </x:c>
      <x:c r="E23" s="1" t="n">
        <x:v>1628</x:v>
      </x:c>
      <x:c r="F23" s="9" t="n">
        <x:v>0.0012285012285012285</x:v>
      </x:c>
    </x:row>
    <x:row r="24">
      <x:c r="A24" s="1" t="str">
        <x:v>2017-02-01</x:v>
      </x:c>
      <x:c r="B24" s="1" t="str">
        <x:v>2017-06-01</x:v>
      </x:c>
      <x:c r="C24" s="1" t="n">
        <x:v>4</x:v>
      </x:c>
      <x:c r="D24" s="1" t="n">
        <x:v>7</x:v>
      </x:c>
      <x:c r="E24" s="1" t="n">
        <x:v>1628</x:v>
      </x:c>
      <x:c r="F24" s="9" t="n">
        <x:v>0.0042997542997543</x:v>
      </x:c>
    </x:row>
    <x:row r="25">
      <x:c r="A25" s="1" t="str">
        <x:v>2017-02-01</x:v>
      </x:c>
      <x:c r="B25" s="1" t="str">
        <x:v>2017-07-01</x:v>
      </x:c>
      <x:c r="C25" s="1" t="n">
        <x:v>5</x:v>
      </x:c>
      <x:c r="D25" s="1" t="n">
        <x:v>2</x:v>
      </x:c>
      <x:c r="E25" s="1" t="n">
        <x:v>1628</x:v>
      </x:c>
      <x:c r="F25" s="9" t="n">
        <x:v>0.0012285012285012285</x:v>
      </x:c>
    </x:row>
    <x:row r="26">
      <x:c r="A26" s="1" t="str">
        <x:v>2017-02-01</x:v>
      </x:c>
      <x:c r="B26" s="1" t="str">
        <x:v>2017-08-01</x:v>
      </x:c>
      <x:c r="C26" s="1" t="n">
        <x:v>6</x:v>
      </x:c>
      <x:c r="D26" s="1" t="n">
        <x:v>4</x:v>
      </x:c>
      <x:c r="E26" s="1" t="n">
        <x:v>1628</x:v>
      </x:c>
      <x:c r="F26" s="9" t="n">
        <x:v>0.002457002457002457</x:v>
      </x:c>
    </x:row>
    <x:row r="27">
      <x:c r="A27" s="1" t="str">
        <x:v>2017-02-01</x:v>
      </x:c>
      <x:c r="B27" s="1" t="str">
        <x:v>2017-09-01</x:v>
      </x:c>
      <x:c r="C27" s="1" t="n">
        <x:v>7</x:v>
      </x:c>
      <x:c r="D27" s="1" t="n">
        <x:v>3</x:v>
      </x:c>
      <x:c r="E27" s="1" t="n">
        <x:v>1628</x:v>
      </x:c>
      <x:c r="F27" s="9" t="n">
        <x:v>0.0018427518427518428</x:v>
      </x:c>
    </x:row>
    <x:row r="28">
      <x:c r="A28" s="1" t="str">
        <x:v>2017-02-01</x:v>
      </x:c>
      <x:c r="B28" s="1" t="str">
        <x:v>2017-10-01</x:v>
      </x:c>
      <x:c r="C28" s="1" t="n">
        <x:v>8</x:v>
      </x:c>
      <x:c r="D28" s="1" t="n">
        <x:v>2</x:v>
      </x:c>
      <x:c r="E28" s="1" t="n">
        <x:v>1628</x:v>
      </x:c>
      <x:c r="F28" s="9" t="n">
        <x:v>0.0012285012285012285</x:v>
      </x:c>
    </x:row>
    <x:row r="29">
      <x:c r="A29" s="1" t="str">
        <x:v>2017-02-01</x:v>
      </x:c>
      <x:c r="B29" s="1" t="str">
        <x:v>2017-11-01</x:v>
      </x:c>
      <x:c r="C29" s="1" t="n">
        <x:v>9</x:v>
      </x:c>
      <x:c r="D29" s="1" t="n">
        <x:v>3</x:v>
      </x:c>
      <x:c r="E29" s="1" t="n">
        <x:v>1628</x:v>
      </x:c>
      <x:c r="F29" s="9" t="n">
        <x:v>0.0018427518427518428</x:v>
      </x:c>
    </x:row>
    <x:row r="30">
      <x:c r="A30" s="1" t="str">
        <x:v>2017-02-01</x:v>
      </x:c>
      <x:c r="B30" s="1" t="str">
        <x:v>2017-12-01</x:v>
      </x:c>
      <x:c r="C30" s="1" t="n">
        <x:v>10</x:v>
      </x:c>
      <x:c r="D30" s="1" t="n">
        <x:v>2</x:v>
      </x:c>
      <x:c r="E30" s="1" t="n">
        <x:v>1628</x:v>
      </x:c>
      <x:c r="F30" s="9" t="n">
        <x:v>0.0012285012285012285</x:v>
      </x:c>
    </x:row>
    <x:row r="31">
      <x:c r="A31" s="1" t="str">
        <x:v>2017-02-01</x:v>
      </x:c>
      <x:c r="B31" s="1" t="str">
        <x:v>2018-01-01</x:v>
      </x:c>
      <x:c r="C31" s="1" t="n">
        <x:v>11</x:v>
      </x:c>
      <x:c r="D31" s="1" t="n">
        <x:v>5</x:v>
      </x:c>
      <x:c r="E31" s="1" t="n">
        <x:v>1628</x:v>
      </x:c>
      <x:c r="F31" s="9" t="n">
        <x:v>0.003071253071253071</x:v>
      </x:c>
    </x:row>
    <x:row r="32">
      <x:c r="A32" s="1" t="str">
        <x:v>2017-02-01</x:v>
      </x:c>
      <x:c r="B32" s="1" t="str">
        <x:v>2018-02-01</x:v>
      </x:c>
      <x:c r="C32" s="1" t="n">
        <x:v>12</x:v>
      </x:c>
      <x:c r="D32" s="1" t="n">
        <x:v>2</x:v>
      </x:c>
      <x:c r="E32" s="1" t="n">
        <x:v>1628</x:v>
      </x:c>
      <x:c r="F32" s="9" t="n">
        <x:v>0.0012285012285012285</x:v>
      </x:c>
    </x:row>
    <x:row r="33">
      <x:c r="A33" s="1" t="str">
        <x:v>2017-02-01</x:v>
      </x:c>
      <x:c r="B33" s="1" t="str">
        <x:v>2018-03-01</x:v>
      </x:c>
      <x:c r="C33" s="1" t="n">
        <x:v>13</x:v>
      </x:c>
      <x:c r="D33" s="1" t="n">
        <x:v>3</x:v>
      </x:c>
      <x:c r="E33" s="1" t="n">
        <x:v>1628</x:v>
      </x:c>
      <x:c r="F33" s="9" t="n">
        <x:v>0.0018427518427518428</x:v>
      </x:c>
    </x:row>
    <x:row r="34">
      <x:c r="A34" s="1" t="str">
        <x:v>2017-02-01</x:v>
      </x:c>
      <x:c r="B34" s="1" t="str">
        <x:v>2018-04-01</x:v>
      </x:c>
      <x:c r="C34" s="1" t="n">
        <x:v>14</x:v>
      </x:c>
      <x:c r="D34" s="1" t="n">
        <x:v>2</x:v>
      </x:c>
      <x:c r="E34" s="1" t="n">
        <x:v>1628</x:v>
      </x:c>
      <x:c r="F34" s="9" t="n">
        <x:v>0.0012285012285012285</x:v>
      </x:c>
    </x:row>
    <x:row r="35">
      <x:c r="A35" s="1" t="str">
        <x:v>2017-02-01</x:v>
      </x:c>
      <x:c r="B35" s="1" t="str">
        <x:v>2018-05-01</x:v>
      </x:c>
      <x:c r="C35" s="1" t="n">
        <x:v>15</x:v>
      </x:c>
      <x:c r="D35" s="1" t="n">
        <x:v>1</x:v>
      </x:c>
      <x:c r="E35" s="1" t="n">
        <x:v>1628</x:v>
      </x:c>
      <x:c r="F35" s="9" t="n">
        <x:v>0.0006142506142506142</x:v>
      </x:c>
    </x:row>
    <x:row r="36">
      <x:c r="A36" s="1" t="str">
        <x:v>2017-02-01</x:v>
      </x:c>
      <x:c r="B36" s="1" t="str">
        <x:v>2018-06-01</x:v>
      </x:c>
      <x:c r="C36" s="1" t="n">
        <x:v>16</x:v>
      </x:c>
      <x:c r="D36" s="1" t="n">
        <x:v>1</x:v>
      </x:c>
      <x:c r="E36" s="1" t="n">
        <x:v>1628</x:v>
      </x:c>
      <x:c r="F36" s="9" t="n">
        <x:v>0.0006142506142506142</x:v>
      </x:c>
    </x:row>
    <x:row r="37">
      <x:c r="A37" s="1" t="str">
        <x:v>2017-02-01</x:v>
      </x:c>
      <x:c r="B37" s="1" t="str">
        <x:v>2018-07-01</x:v>
      </x:c>
      <x:c r="C37" s="1" t="n">
        <x:v>17</x:v>
      </x:c>
      <x:c r="D37" s="1" t="n">
        <x:v>3</x:v>
      </x:c>
      <x:c r="E37" s="1" t="n">
        <x:v>1628</x:v>
      </x:c>
      <x:c r="F37" s="9" t="n">
        <x:v>0.0018427518427518428</x:v>
      </x:c>
    </x:row>
    <x:row r="38">
      <x:c r="A38" s="1" t="str">
        <x:v>2017-03-01</x:v>
      </x:c>
      <x:c r="B38" s="1" t="str">
        <x:v>2017-03-01</x:v>
      </x:c>
      <x:c r="C38" s="1" t="n">
        <x:v>0</x:v>
      </x:c>
      <x:c r="D38" s="1" t="n">
        <x:v>2503</x:v>
      </x:c>
      <x:c r="E38" s="1" t="n">
        <x:v>2503</x:v>
      </x:c>
      <x:c r="F38" s="9" t="n">
        <x:v>1</x:v>
      </x:c>
    </x:row>
    <x:row r="39">
      <x:c r="A39" s="1" t="str">
        <x:v>2017-03-01</x:v>
      </x:c>
      <x:c r="B39" s="1" t="str">
        <x:v>2017-04-01</x:v>
      </x:c>
      <x:c r="C39" s="1" t="n">
        <x:v>1</x:v>
      </x:c>
      <x:c r="D39" s="1" t="n">
        <x:v>11</x:v>
      </x:c>
      <x:c r="E39" s="1" t="n">
        <x:v>2503</x:v>
      </x:c>
      <x:c r="F39" s="9" t="n">
        <x:v>0.0043947263284059125</x:v>
      </x:c>
    </x:row>
    <x:row r="40">
      <x:c r="A40" s="1" t="str">
        <x:v>2017-03-01</x:v>
      </x:c>
      <x:c r="B40" s="1" t="str">
        <x:v>2017-05-01</x:v>
      </x:c>
      <x:c r="C40" s="1" t="n">
        <x:v>2</x:v>
      </x:c>
      <x:c r="D40" s="1" t="n">
        <x:v>9</x:v>
      </x:c>
      <x:c r="E40" s="1" t="n">
        <x:v>2503</x:v>
      </x:c>
      <x:c r="F40" s="9" t="n">
        <x:v>0.003595685177786656</x:v>
      </x:c>
    </x:row>
    <x:row r="41">
      <x:c r="A41" s="1" t="str">
        <x:v>2017-03-01</x:v>
      </x:c>
      <x:c r="B41" s="1" t="str">
        <x:v>2017-06-01</x:v>
      </x:c>
      <x:c r="C41" s="1" t="n">
        <x:v>3</x:v>
      </x:c>
      <x:c r="D41" s="1" t="n">
        <x:v>10</x:v>
      </x:c>
      <x:c r="E41" s="1" t="n">
        <x:v>2503</x:v>
      </x:c>
      <x:c r="F41" s="9" t="n">
        <x:v>0.003995205753096284</x:v>
      </x:c>
    </x:row>
    <x:row r="42">
      <x:c r="A42" s="1" t="str">
        <x:v>2017-03-01</x:v>
      </x:c>
      <x:c r="B42" s="1" t="str">
        <x:v>2017-07-01</x:v>
      </x:c>
      <x:c r="C42" s="1" t="n">
        <x:v>4</x:v>
      </x:c>
      <x:c r="D42" s="1" t="n">
        <x:v>9</x:v>
      </x:c>
      <x:c r="E42" s="1" t="n">
        <x:v>2503</x:v>
      </x:c>
      <x:c r="F42" s="9" t="n">
        <x:v>0.003595685177786656</x:v>
      </x:c>
    </x:row>
    <x:row r="43">
      <x:c r="A43" s="1" t="str">
        <x:v>2017-03-01</x:v>
      </x:c>
      <x:c r="B43" s="1" t="str">
        <x:v>2017-08-01</x:v>
      </x:c>
      <x:c r="C43" s="1" t="n">
        <x:v>5</x:v>
      </x:c>
      <x:c r="D43" s="1" t="n">
        <x:v>4</x:v>
      </x:c>
      <x:c r="E43" s="1" t="n">
        <x:v>2503</x:v>
      </x:c>
      <x:c r="F43" s="9" t="n">
        <x:v>0.0015980823012385138</x:v>
      </x:c>
    </x:row>
    <x:row r="44">
      <x:c r="A44" s="1" t="str">
        <x:v>2017-03-01</x:v>
      </x:c>
      <x:c r="B44" s="1" t="str">
        <x:v>2017-09-01</x:v>
      </x:c>
      <x:c r="C44" s="1" t="n">
        <x:v>6</x:v>
      </x:c>
      <x:c r="D44" s="1" t="n">
        <x:v>4</x:v>
      </x:c>
      <x:c r="E44" s="1" t="n">
        <x:v>2503</x:v>
      </x:c>
      <x:c r="F44" s="9" t="n">
        <x:v>0.0015980823012385138</x:v>
      </x:c>
    </x:row>
    <x:row r="45">
      <x:c r="A45" s="1" t="str">
        <x:v>2017-03-01</x:v>
      </x:c>
      <x:c r="B45" s="1" t="str">
        <x:v>2017-10-01</x:v>
      </x:c>
      <x:c r="C45" s="1" t="n">
        <x:v>7</x:v>
      </x:c>
      <x:c r="D45" s="1" t="n">
        <x:v>8</x:v>
      </x:c>
      <x:c r="E45" s="1" t="n">
        <x:v>2503</x:v>
      </x:c>
      <x:c r="F45" s="9" t="n">
        <x:v>0.0031961646024770275</x:v>
      </x:c>
    </x:row>
    <x:row r="46">
      <x:c r="A46" s="1" t="str">
        <x:v>2017-03-01</x:v>
      </x:c>
      <x:c r="B46" s="1" t="str">
        <x:v>2017-11-01</x:v>
      </x:c>
      <x:c r="C46" s="1" t="n">
        <x:v>8</x:v>
      </x:c>
      <x:c r="D46" s="1" t="n">
        <x:v>8</x:v>
      </x:c>
      <x:c r="E46" s="1" t="n">
        <x:v>2503</x:v>
      </x:c>
      <x:c r="F46" s="9" t="n">
        <x:v>0.0031961646024770275</x:v>
      </x:c>
    </x:row>
    <x:row r="47">
      <x:c r="A47" s="1" t="str">
        <x:v>2017-03-01</x:v>
      </x:c>
      <x:c r="B47" s="1" t="str">
        <x:v>2017-12-01</x:v>
      </x:c>
      <x:c r="C47" s="1" t="n">
        <x:v>9</x:v>
      </x:c>
      <x:c r="D47" s="1" t="n">
        <x:v>2</x:v>
      </x:c>
      <x:c r="E47" s="1" t="n">
        <x:v>2503</x:v>
      </x:c>
      <x:c r="F47" s="9" t="n">
        <x:v>0.0007990411506192569</x:v>
      </x:c>
    </x:row>
    <x:row r="48">
      <x:c r="A48" s="1" t="str">
        <x:v>2017-03-01</x:v>
      </x:c>
      <x:c r="B48" s="1" t="str">
        <x:v>2018-01-01</x:v>
      </x:c>
      <x:c r="C48" s="1" t="n">
        <x:v>10</x:v>
      </x:c>
      <x:c r="D48" s="1" t="n">
        <x:v>9</x:v>
      </x:c>
      <x:c r="E48" s="1" t="n">
        <x:v>2503</x:v>
      </x:c>
      <x:c r="F48" s="9" t="n">
        <x:v>0.003595685177786656</x:v>
      </x:c>
    </x:row>
    <x:row r="49">
      <x:c r="A49" s="1" t="str">
        <x:v>2017-03-01</x:v>
      </x:c>
      <x:c r="B49" s="1" t="str">
        <x:v>2018-02-01</x:v>
      </x:c>
      <x:c r="C49" s="1" t="n">
        <x:v>11</x:v>
      </x:c>
      <x:c r="D49" s="1" t="n">
        <x:v>3</x:v>
      </x:c>
      <x:c r="E49" s="1" t="n">
        <x:v>2503</x:v>
      </x:c>
      <x:c r="F49" s="9" t="n">
        <x:v>0.0011985617259288853</x:v>
      </x:c>
    </x:row>
    <x:row r="50">
      <x:c r="A50" s="1" t="str">
        <x:v>2017-03-01</x:v>
      </x:c>
      <x:c r="B50" s="1" t="str">
        <x:v>2018-03-01</x:v>
      </x:c>
      <x:c r="C50" s="1" t="n">
        <x:v>12</x:v>
      </x:c>
      <x:c r="D50" s="1" t="n">
        <x:v>5</x:v>
      </x:c>
      <x:c r="E50" s="1" t="n">
        <x:v>2503</x:v>
      </x:c>
      <x:c r="F50" s="9" t="n">
        <x:v>0.001997602876548142</x:v>
      </x:c>
    </x:row>
    <x:row r="51">
      <x:c r="A51" s="1" t="str">
        <x:v>2017-03-01</x:v>
      </x:c>
      <x:c r="B51" s="1" t="str">
        <x:v>2018-04-01</x:v>
      </x:c>
      <x:c r="C51" s="1" t="n">
        <x:v>13</x:v>
      </x:c>
      <x:c r="D51" s="1" t="n">
        <x:v>3</x:v>
      </x:c>
      <x:c r="E51" s="1" t="n">
        <x:v>2503</x:v>
      </x:c>
      <x:c r="F51" s="9" t="n">
        <x:v>0.0011985617259288853</x:v>
      </x:c>
    </x:row>
    <x:row r="52">
      <x:c r="A52" s="1" t="str">
        <x:v>2017-03-01</x:v>
      </x:c>
      <x:c r="B52" s="1" t="str">
        <x:v>2018-05-01</x:v>
      </x:c>
      <x:c r="C52" s="1" t="n">
        <x:v>14</x:v>
      </x:c>
      <x:c r="D52" s="1" t="n">
        <x:v>4</x:v>
      </x:c>
      <x:c r="E52" s="1" t="n">
        <x:v>2503</x:v>
      </x:c>
      <x:c r="F52" s="9" t="n">
        <x:v>0.0015980823012385138</x:v>
      </x:c>
    </x:row>
    <x:row r="53">
      <x:c r="A53" s="1" t="str">
        <x:v>2017-03-01</x:v>
      </x:c>
      <x:c r="B53" s="1" t="str">
        <x:v>2018-06-01</x:v>
      </x:c>
      <x:c r="C53" s="1" t="n">
        <x:v>15</x:v>
      </x:c>
      <x:c r="D53" s="1" t="n">
        <x:v>6</x:v>
      </x:c>
      <x:c r="E53" s="1" t="n">
        <x:v>2503</x:v>
      </x:c>
      <x:c r="F53" s="9" t="n">
        <x:v>0.0023971234518577705</x:v>
      </x:c>
    </x:row>
    <x:row r="54">
      <x:c r="A54" s="1" t="str">
        <x:v>2017-03-01</x:v>
      </x:c>
      <x:c r="B54" s="1" t="str">
        <x:v>2018-07-01</x:v>
      </x:c>
      <x:c r="C54" s="1" t="n">
        <x:v>16</x:v>
      </x:c>
      <x:c r="D54" s="1" t="n">
        <x:v>2</x:v>
      </x:c>
      <x:c r="E54" s="1" t="n">
        <x:v>2503</x:v>
      </x:c>
      <x:c r="F54" s="9" t="n">
        <x:v>0.0007990411506192569</x:v>
      </x:c>
    </x:row>
    <x:row r="55">
      <x:c r="A55" s="1" t="str">
        <x:v>2017-03-01</x:v>
      </x:c>
      <x:c r="B55" s="1" t="str">
        <x:v>2018-08-01</x:v>
      </x:c>
      <x:c r="C55" s="1" t="n">
        <x:v>17</x:v>
      </x:c>
      <x:c r="D55" s="1" t="n">
        <x:v>3</x:v>
      </x:c>
      <x:c r="E55" s="1" t="n">
        <x:v>2503</x:v>
      </x:c>
      <x:c r="F55" s="9" t="n">
        <x:v>0.0011985617259288853</x:v>
      </x:c>
    </x:row>
    <x:row r="56">
      <x:c r="A56" s="1" t="str">
        <x:v>2017-04-01</x:v>
      </x:c>
      <x:c r="B56" s="1" t="str">
        <x:v>2017-04-01</x:v>
      </x:c>
      <x:c r="C56" s="1" t="n">
        <x:v>0</x:v>
      </x:c>
      <x:c r="D56" s="1" t="n">
        <x:v>2257</x:v>
      </x:c>
      <x:c r="E56" s="1" t="n">
        <x:v>2257</x:v>
      </x:c>
      <x:c r="F56" s="9" t="n">
        <x:v>1</x:v>
      </x:c>
    </x:row>
    <x:row r="57">
      <x:c r="A57" s="1" t="str">
        <x:v>2017-04-01</x:v>
      </x:c>
      <x:c r="B57" s="1" t="str">
        <x:v>2017-05-01</x:v>
      </x:c>
      <x:c r="C57" s="1" t="n">
        <x:v>1</x:v>
      </x:c>
      <x:c r="D57" s="1" t="n">
        <x:v>14</x:v>
      </x:c>
      <x:c r="E57" s="1" t="n">
        <x:v>2257</x:v>
      </x:c>
      <x:c r="F57" s="9" t="n">
        <x:v>0.006202924235711121</x:v>
      </x:c>
    </x:row>
    <x:row r="58">
      <x:c r="A58" s="1" t="str">
        <x:v>2017-04-01</x:v>
      </x:c>
      <x:c r="B58" s="1" t="str">
        <x:v>2017-06-01</x:v>
      </x:c>
      <x:c r="C58" s="1" t="n">
        <x:v>2</x:v>
      </x:c>
      <x:c r="D58" s="1" t="n">
        <x:v>5</x:v>
      </x:c>
      <x:c r="E58" s="1" t="n">
        <x:v>2257</x:v>
      </x:c>
      <x:c r="F58" s="9" t="n">
        <x:v>0.002215330084182543</x:v>
      </x:c>
    </x:row>
    <x:row r="59">
      <x:c r="A59" s="1" t="str">
        <x:v>2017-04-01</x:v>
      </x:c>
      <x:c r="B59" s="1" t="str">
        <x:v>2017-07-01</x:v>
      </x:c>
      <x:c r="C59" s="1" t="n">
        <x:v>3</x:v>
      </x:c>
      <x:c r="D59" s="1" t="n">
        <x:v>4</x:v>
      </x:c>
      <x:c r="E59" s="1" t="n">
        <x:v>2257</x:v>
      </x:c>
      <x:c r="F59" s="9" t="n">
        <x:v>0.0017722640673460345</x:v>
      </x:c>
    </x:row>
    <x:row r="60">
      <x:c r="A60" s="1" t="str">
        <x:v>2017-04-01</x:v>
      </x:c>
      <x:c r="B60" s="1" t="str">
        <x:v>2017-08-01</x:v>
      </x:c>
      <x:c r="C60" s="1" t="n">
        <x:v>4</x:v>
      </x:c>
      <x:c r="D60" s="1" t="n">
        <x:v>6</x:v>
      </x:c>
      <x:c r="E60" s="1" t="n">
        <x:v>2257</x:v>
      </x:c>
      <x:c r="F60" s="9" t="n">
        <x:v>0.002658396101019052</x:v>
      </x:c>
    </x:row>
    <x:row r="61">
      <x:c r="A61" s="1" t="str">
        <x:v>2017-04-01</x:v>
      </x:c>
      <x:c r="B61" s="1" t="str">
        <x:v>2017-09-01</x:v>
      </x:c>
      <x:c r="C61" s="1" t="n">
        <x:v>5</x:v>
      </x:c>
      <x:c r="D61" s="1" t="n">
        <x:v>6</x:v>
      </x:c>
      <x:c r="E61" s="1" t="n">
        <x:v>2257</x:v>
      </x:c>
      <x:c r="F61" s="9" t="n">
        <x:v>0.002658396101019052</x:v>
      </x:c>
    </x:row>
    <x:row r="62">
      <x:c r="A62" s="1" t="str">
        <x:v>2017-04-01</x:v>
      </x:c>
      <x:c r="B62" s="1" t="str">
        <x:v>2017-10-01</x:v>
      </x:c>
      <x:c r="C62" s="1" t="n">
        <x:v>6</x:v>
      </x:c>
      <x:c r="D62" s="1" t="n">
        <x:v>8</x:v>
      </x:c>
      <x:c r="E62" s="1" t="n">
        <x:v>2257</x:v>
      </x:c>
      <x:c r="F62" s="9" t="n">
        <x:v>0.003544528134692069</x:v>
      </x:c>
    </x:row>
    <x:row r="63">
      <x:c r="A63" s="1" t="str">
        <x:v>2017-04-01</x:v>
      </x:c>
      <x:c r="B63" s="1" t="str">
        <x:v>2017-11-01</x:v>
      </x:c>
      <x:c r="C63" s="1" t="n">
        <x:v>7</x:v>
      </x:c>
      <x:c r="D63" s="1" t="n">
        <x:v>7</x:v>
      </x:c>
      <x:c r="E63" s="1" t="n">
        <x:v>2257</x:v>
      </x:c>
      <x:c r="F63" s="9" t="n">
        <x:v>0.0031014621178555605</x:v>
      </x:c>
    </x:row>
    <x:row r="64">
      <x:c r="A64" s="1" t="str">
        <x:v>2017-04-01</x:v>
      </x:c>
      <x:c r="B64" s="1" t="str">
        <x:v>2017-12-01</x:v>
      </x:c>
      <x:c r="C64" s="1" t="n">
        <x:v>8</x:v>
      </x:c>
      <x:c r="D64" s="1" t="n">
        <x:v>7</x:v>
      </x:c>
      <x:c r="E64" s="1" t="n">
        <x:v>2257</x:v>
      </x:c>
      <x:c r="F64" s="9" t="n">
        <x:v>0.0031014621178555605</x:v>
      </x:c>
    </x:row>
    <x:row r="65">
      <x:c r="A65" s="1" t="str">
        <x:v>2017-04-01</x:v>
      </x:c>
      <x:c r="B65" s="1" t="str">
        <x:v>2018-01-01</x:v>
      </x:c>
      <x:c r="C65" s="1" t="n">
        <x:v>9</x:v>
      </x:c>
      <x:c r="D65" s="1" t="n">
        <x:v>4</x:v>
      </x:c>
      <x:c r="E65" s="1" t="n">
        <x:v>2257</x:v>
      </x:c>
      <x:c r="F65" s="9" t="n">
        <x:v>0.0017722640673460345</x:v>
      </x:c>
    </x:row>
    <x:row r="66">
      <x:c r="A66" s="1" t="str">
        <x:v>2017-04-01</x:v>
      </x:c>
      <x:c r="B66" s="1" t="str">
        <x:v>2018-02-01</x:v>
      </x:c>
      <x:c r="C66" s="1" t="n">
        <x:v>10</x:v>
      </x:c>
      <x:c r="D66" s="1" t="n">
        <x:v>6</x:v>
      </x:c>
      <x:c r="E66" s="1" t="n">
        <x:v>2257</x:v>
      </x:c>
      <x:c r="F66" s="9" t="n">
        <x:v>0.002658396101019052</x:v>
      </x:c>
    </x:row>
    <x:row r="67">
      <x:c r="A67" s="1" t="str">
        <x:v>2017-04-01</x:v>
      </x:c>
      <x:c r="B67" s="1" t="str">
        <x:v>2018-03-01</x:v>
      </x:c>
      <x:c r="C67" s="1" t="n">
        <x:v>11</x:v>
      </x:c>
      <x:c r="D67" s="1" t="n">
        <x:v>2</x:v>
      </x:c>
      <x:c r="E67" s="1" t="n">
        <x:v>2257</x:v>
      </x:c>
      <x:c r="F67" s="9" t="n">
        <x:v>0.0008861320336730173</x:v>
      </x:c>
    </x:row>
    <x:row r="68">
      <x:c r="A68" s="1" t="str">
        <x:v>2017-04-01</x:v>
      </x:c>
      <x:c r="B68" s="1" t="str">
        <x:v>2018-04-01</x:v>
      </x:c>
      <x:c r="C68" s="1" t="n">
        <x:v>12</x:v>
      </x:c>
      <x:c r="D68" s="1" t="n">
        <x:v>1</x:v>
      </x:c>
      <x:c r="E68" s="1" t="n">
        <x:v>2257</x:v>
      </x:c>
      <x:c r="F68" s="9" t="n">
        <x:v>0.00044306601683650863</x:v>
      </x:c>
    </x:row>
    <x:row r="69">
      <x:c r="A69" s="1" t="str">
        <x:v>2017-04-01</x:v>
      </x:c>
      <x:c r="B69" s="1" t="str">
        <x:v>2018-05-01</x:v>
      </x:c>
      <x:c r="C69" s="1" t="n">
        <x:v>13</x:v>
      </x:c>
      <x:c r="D69" s="1" t="n">
        <x:v>1</x:v>
      </x:c>
      <x:c r="E69" s="1" t="n">
        <x:v>2257</x:v>
      </x:c>
      <x:c r="F69" s="9" t="n">
        <x:v>0.00044306601683650863</x:v>
      </x:c>
    </x:row>
    <x:row r="70">
      <x:c r="A70" s="1" t="str">
        <x:v>2017-04-01</x:v>
      </x:c>
      <x:c r="B70" s="1" t="str">
        <x:v>2018-06-01</x:v>
      </x:c>
      <x:c r="C70" s="1" t="n">
        <x:v>14</x:v>
      </x:c>
      <x:c r="D70" s="1" t="n">
        <x:v>2</x:v>
      </x:c>
      <x:c r="E70" s="1" t="n">
        <x:v>2257</x:v>
      </x:c>
      <x:c r="F70" s="9" t="n">
        <x:v>0.0008861320336730173</x:v>
      </x:c>
    </x:row>
    <x:row r="71">
      <x:c r="A71" s="1" t="str">
        <x:v>2017-04-01</x:v>
      </x:c>
      <x:c r="B71" s="1" t="str">
        <x:v>2018-07-01</x:v>
      </x:c>
      <x:c r="C71" s="1" t="n">
        <x:v>15</x:v>
      </x:c>
      <x:c r="D71" s="1" t="n">
        <x:v>2</x:v>
      </x:c>
      <x:c r="E71" s="1" t="n">
        <x:v>2257</x:v>
      </x:c>
      <x:c r="F71" s="9" t="n">
        <x:v>0.0008861320336730173</x:v>
      </x:c>
    </x:row>
    <x:row r="72">
      <x:c r="A72" s="1" t="str">
        <x:v>2017-04-01</x:v>
      </x:c>
      <x:c r="B72" s="1" t="str">
        <x:v>2018-08-01</x:v>
      </x:c>
      <x:c r="C72" s="1" t="n">
        <x:v>16</x:v>
      </x:c>
      <x:c r="D72" s="1" t="n">
        <x:v>3</x:v>
      </x:c>
      <x:c r="E72" s="1" t="n">
        <x:v>2257</x:v>
      </x:c>
      <x:c r="F72" s="9" t="n">
        <x:v>0.001329198050509526</x:v>
      </x:c>
    </x:row>
    <x:row r="73">
      <x:c r="A73" s="1" t="str">
        <x:v>2017-05-01</x:v>
      </x:c>
      <x:c r="B73" s="1" t="str">
        <x:v>2017-05-01</x:v>
      </x:c>
      <x:c r="C73" s="1" t="n">
        <x:v>0</x:v>
      </x:c>
      <x:c r="D73" s="1" t="n">
        <x:v>3451</x:v>
      </x:c>
      <x:c r="E73" s="1" t="n">
        <x:v>3451</x:v>
      </x:c>
      <x:c r="F73" s="9" t="n">
        <x:v>1</x:v>
      </x:c>
    </x:row>
    <x:row r="74">
      <x:c r="A74" s="1" t="str">
        <x:v>2017-05-01</x:v>
      </x:c>
      <x:c r="B74" s="1" t="str">
        <x:v>2017-06-01</x:v>
      </x:c>
      <x:c r="C74" s="1" t="n">
        <x:v>1</x:v>
      </x:c>
      <x:c r="D74" s="1" t="n">
        <x:v>16</x:v>
      </x:c>
      <x:c r="E74" s="1" t="n">
        <x:v>3451</x:v>
      </x:c>
      <x:c r="F74" s="9" t="n">
        <x:v>0.004636337293538105</x:v>
      </x:c>
    </x:row>
    <x:row r="75">
      <x:c r="A75" s="1" t="str">
        <x:v>2017-05-01</x:v>
      </x:c>
      <x:c r="B75" s="1" t="str">
        <x:v>2017-07-01</x:v>
      </x:c>
      <x:c r="C75" s="1" t="n">
        <x:v>2</x:v>
      </x:c>
      <x:c r="D75" s="1" t="n">
        <x:v>16</x:v>
      </x:c>
      <x:c r="E75" s="1" t="n">
        <x:v>3451</x:v>
      </x:c>
      <x:c r="F75" s="9" t="n">
        <x:v>0.004636337293538105</x:v>
      </x:c>
    </x:row>
    <x:row r="76">
      <x:c r="A76" s="1" t="str">
        <x:v>2017-05-01</x:v>
      </x:c>
      <x:c r="B76" s="1" t="str">
        <x:v>2017-08-01</x:v>
      </x:c>
      <x:c r="C76" s="1" t="n">
        <x:v>3</x:v>
      </x:c>
      <x:c r="D76" s="1" t="n">
        <x:v>10</x:v>
      </x:c>
      <x:c r="E76" s="1" t="n">
        <x:v>3451</x:v>
      </x:c>
      <x:c r="F76" s="9" t="n">
        <x:v>0.0028977108084613156</x:v>
      </x:c>
    </x:row>
    <x:row r="77">
      <x:c r="A77" s="1" t="str">
        <x:v>2017-05-01</x:v>
      </x:c>
      <x:c r="B77" s="1" t="str">
        <x:v>2017-09-01</x:v>
      </x:c>
      <x:c r="C77" s="1" t="n">
        <x:v>4</x:v>
      </x:c>
      <x:c r="D77" s="1" t="n">
        <x:v>10</x:v>
      </x:c>
      <x:c r="E77" s="1" t="n">
        <x:v>3451</x:v>
      </x:c>
      <x:c r="F77" s="9" t="n">
        <x:v>0.0028977108084613156</x:v>
      </x:c>
    </x:row>
    <x:row r="78">
      <x:c r="A78" s="1" t="str">
        <x:v>2017-05-01</x:v>
      </x:c>
      <x:c r="B78" s="1" t="str">
        <x:v>2017-10-01</x:v>
      </x:c>
      <x:c r="C78" s="1" t="n">
        <x:v>5</x:v>
      </x:c>
      <x:c r="D78" s="1" t="n">
        <x:v>11</x:v>
      </x:c>
      <x:c r="E78" s="1" t="n">
        <x:v>3451</x:v>
      </x:c>
      <x:c r="F78" s="9" t="n">
        <x:v>0.003187481889307447</x:v>
      </x:c>
    </x:row>
    <x:row r="79">
      <x:c r="A79" s="1" t="str">
        <x:v>2017-05-01</x:v>
      </x:c>
      <x:c r="B79" s="1" t="str">
        <x:v>2017-11-01</x:v>
      </x:c>
      <x:c r="C79" s="1" t="n">
        <x:v>6</x:v>
      </x:c>
      <x:c r="D79" s="1" t="n">
        <x:v>14</x:v>
      </x:c>
      <x:c r="E79" s="1" t="n">
        <x:v>3451</x:v>
      </x:c>
      <x:c r="F79" s="9" t="n">
        <x:v>0.004056795131845842</x:v>
      </x:c>
    </x:row>
    <x:row r="80">
      <x:c r="A80" s="1" t="str">
        <x:v>2017-05-01</x:v>
      </x:c>
      <x:c r="B80" s="1" t="str">
        <x:v>2017-12-01</x:v>
      </x:c>
      <x:c r="C80" s="1" t="n">
        <x:v>7</x:v>
      </x:c>
      <x:c r="D80" s="1" t="n">
        <x:v>5</x:v>
      </x:c>
      <x:c r="E80" s="1" t="n">
        <x:v>3451</x:v>
      </x:c>
      <x:c r="F80" s="9" t="n">
        <x:v>0.0014488554042306578</x:v>
      </x:c>
    </x:row>
    <x:row r="81">
      <x:c r="A81" s="1" t="str">
        <x:v>2017-05-01</x:v>
      </x:c>
      <x:c r="B81" s="1" t="str">
        <x:v>2018-01-01</x:v>
      </x:c>
      <x:c r="C81" s="1" t="n">
        <x:v>8</x:v>
      </x:c>
      <x:c r="D81" s="1" t="n">
        <x:v>9</x:v>
      </x:c>
      <x:c r="E81" s="1" t="n">
        <x:v>3451</x:v>
      </x:c>
      <x:c r="F81" s="9" t="n">
        <x:v>0.002607939727615184</x:v>
      </x:c>
    </x:row>
    <x:row r="82">
      <x:c r="A82" s="1" t="str">
        <x:v>2017-05-01</x:v>
      </x:c>
      <x:c r="B82" s="1" t="str">
        <x:v>2018-02-01</x:v>
      </x:c>
      <x:c r="C82" s="1" t="n">
        <x:v>9</x:v>
      </x:c>
      <x:c r="D82" s="1" t="n">
        <x:v>9</x:v>
      </x:c>
      <x:c r="E82" s="1" t="n">
        <x:v>3451</x:v>
      </x:c>
      <x:c r="F82" s="9" t="n">
        <x:v>0.002607939727615184</x:v>
      </x:c>
    </x:row>
    <x:row r="83">
      <x:c r="A83" s="1" t="str">
        <x:v>2017-05-01</x:v>
      </x:c>
      <x:c r="B83" s="1" t="str">
        <x:v>2018-03-01</x:v>
      </x:c>
      <x:c r="C83" s="1" t="n">
        <x:v>10</x:v>
      </x:c>
      <x:c r="D83" s="1" t="n">
        <x:v>9</x:v>
      </x:c>
      <x:c r="E83" s="1" t="n">
        <x:v>3451</x:v>
      </x:c>
      <x:c r="F83" s="9" t="n">
        <x:v>0.002607939727615184</x:v>
      </x:c>
    </x:row>
    <x:row r="84">
      <x:c r="A84" s="1" t="str">
        <x:v>2017-05-01</x:v>
      </x:c>
      <x:c r="B84" s="1" t="str">
        <x:v>2018-04-01</x:v>
      </x:c>
      <x:c r="C84" s="1" t="n">
        <x:v>11</x:v>
      </x:c>
      <x:c r="D84" s="1" t="n">
        <x:v>12</x:v>
      </x:c>
      <x:c r="E84" s="1" t="n">
        <x:v>3451</x:v>
      </x:c>
      <x:c r="F84" s="9" t="n">
        <x:v>0.0034772529701535787</x:v>
      </x:c>
    </x:row>
    <x:row r="85">
      <x:c r="A85" s="1" t="str">
        <x:v>2017-05-01</x:v>
      </x:c>
      <x:c r="B85" s="1" t="str">
        <x:v>2018-05-01</x:v>
      </x:c>
      <x:c r="C85" s="1" t="n">
        <x:v>12</x:v>
      </x:c>
      <x:c r="D85" s="1" t="n">
        <x:v>8</x:v>
      </x:c>
      <x:c r="E85" s="1" t="n">
        <x:v>3451</x:v>
      </x:c>
      <x:c r="F85" s="9" t="n">
        <x:v>0.0023181686467690526</x:v>
      </x:c>
    </x:row>
    <x:row r="86">
      <x:c r="A86" s="1" t="str">
        <x:v>2017-05-01</x:v>
      </x:c>
      <x:c r="B86" s="1" t="str">
        <x:v>2018-06-01</x:v>
      </x:c>
      <x:c r="C86" s="1" t="n">
        <x:v>13</x:v>
      </x:c>
      <x:c r="D86" s="1" t="n">
        <x:v>1</x:v>
      </x:c>
      <x:c r="E86" s="1" t="n">
        <x:v>3451</x:v>
      </x:c>
      <x:c r="F86" s="9" t="n">
        <x:v>0.0002897710808461316</x:v>
      </x:c>
    </x:row>
    <x:row r="87">
      <x:c r="A87" s="1" t="str">
        <x:v>2017-05-01</x:v>
      </x:c>
      <x:c r="B87" s="1" t="str">
        <x:v>2018-07-01</x:v>
      </x:c>
      <x:c r="C87" s="1" t="n">
        <x:v>14</x:v>
      </x:c>
      <x:c r="D87" s="1" t="n">
        <x:v>6</x:v>
      </x:c>
      <x:c r="E87" s="1" t="n">
        <x:v>3451</x:v>
      </x:c>
      <x:c r="F87" s="9" t="n">
        <x:v>0.0017386264850767893</x:v>
      </x:c>
    </x:row>
    <x:row r="88">
      <x:c r="A88" s="1" t="str">
        <x:v>2017-05-01</x:v>
      </x:c>
      <x:c r="B88" s="1" t="str">
        <x:v>2018-08-01</x:v>
      </x:c>
      <x:c r="C88" s="1" t="n">
        <x:v>15</x:v>
      </x:c>
      <x:c r="D88" s="1" t="n">
        <x:v>7</x:v>
      </x:c>
      <x:c r="E88" s="1" t="n">
        <x:v>3451</x:v>
      </x:c>
      <x:c r="F88" s="9" t="n">
        <x:v>0.002028397565922921</x:v>
      </x:c>
    </x:row>
    <x:row r="89">
      <x:c r="A89" s="1" t="str">
        <x:v>2017-06-01</x:v>
      </x:c>
      <x:c r="B89" s="1" t="str">
        <x:v>2017-06-01</x:v>
      </x:c>
      <x:c r="C89" s="1" t="n">
        <x:v>0</x:v>
      </x:c>
      <x:c r="D89" s="1" t="n">
        <x:v>3037</x:v>
      </x:c>
      <x:c r="E89" s="1" t="n">
        <x:v>3037</x:v>
      </x:c>
      <x:c r="F89" s="9" t="n">
        <x:v>1</x:v>
      </x:c>
    </x:row>
    <x:row r="90">
      <x:c r="A90" s="1" t="str">
        <x:v>2017-06-01</x:v>
      </x:c>
      <x:c r="B90" s="1" t="str">
        <x:v>2017-07-01</x:v>
      </x:c>
      <x:c r="C90" s="1" t="n">
        <x:v>1</x:v>
      </x:c>
      <x:c r="D90" s="1" t="n">
        <x:v>15</x:v>
      </x:c>
      <x:c r="E90" s="1" t="n">
        <x:v>3037</x:v>
      </x:c>
      <x:c r="F90" s="9" t="n">
        <x:v>0.004939084622983207</x:v>
      </x:c>
    </x:row>
    <x:row r="91">
      <x:c r="A91" s="1" t="str">
        <x:v>2017-06-01</x:v>
      </x:c>
      <x:c r="B91" s="1" t="str">
        <x:v>2017-08-01</x:v>
      </x:c>
      <x:c r="C91" s="1" t="n">
        <x:v>2</x:v>
      </x:c>
      <x:c r="D91" s="1" t="n">
        <x:v>12</x:v>
      </x:c>
      <x:c r="E91" s="1" t="n">
        <x:v>3037</x:v>
      </x:c>
      <x:c r="F91" s="9" t="n">
        <x:v>0.003951267698386566</x:v>
      </x:c>
    </x:row>
    <x:row r="92">
      <x:c r="A92" s="1" t="str">
        <x:v>2017-06-01</x:v>
      </x:c>
      <x:c r="B92" s="1" t="str">
        <x:v>2017-09-01</x:v>
      </x:c>
      <x:c r="C92" s="1" t="n">
        <x:v>3</x:v>
      </x:c>
      <x:c r="D92" s="1" t="n">
        <x:v>13</x:v>
      </x:c>
      <x:c r="E92" s="1" t="n">
        <x:v>3037</x:v>
      </x:c>
      <x:c r="F92" s="9" t="n">
        <x:v>0.004280540006585446</x:v>
      </x:c>
    </x:row>
    <x:row r="93">
      <x:c r="A93" s="1" t="str">
        <x:v>2017-06-01</x:v>
      </x:c>
      <x:c r="B93" s="1" t="str">
        <x:v>2017-10-01</x:v>
      </x:c>
      <x:c r="C93" s="1" t="n">
        <x:v>4</x:v>
      </x:c>
      <x:c r="D93" s="1" t="n">
        <x:v>9</x:v>
      </x:c>
      <x:c r="E93" s="1" t="n">
        <x:v>3037</x:v>
      </x:c>
      <x:c r="F93" s="9" t="n">
        <x:v>0.0029634507737899243</x:v>
      </x:c>
    </x:row>
    <x:row r="94">
      <x:c r="A94" s="1" t="str">
        <x:v>2017-06-01</x:v>
      </x:c>
      <x:c r="B94" s="1" t="str">
        <x:v>2017-11-01</x:v>
      </x:c>
      <x:c r="C94" s="1" t="n">
        <x:v>5</x:v>
      </x:c>
      <x:c r="D94" s="1" t="n">
        <x:v>12</x:v>
      </x:c>
      <x:c r="E94" s="1" t="n">
        <x:v>3037</x:v>
      </x:c>
      <x:c r="F94" s="9" t="n">
        <x:v>0.003951267698386566</x:v>
      </x:c>
    </x:row>
    <x:row r="95">
      <x:c r="A95" s="1" t="str">
        <x:v>2017-06-01</x:v>
      </x:c>
      <x:c r="B95" s="1" t="str">
        <x:v>2017-12-01</x:v>
      </x:c>
      <x:c r="C95" s="1" t="n">
        <x:v>6</x:v>
      </x:c>
      <x:c r="D95" s="1" t="n">
        <x:v>11</x:v>
      </x:c>
      <x:c r="E95" s="1" t="n">
        <x:v>3037</x:v>
      </x:c>
      <x:c r="F95" s="9" t="n">
        <x:v>0.0036219953901876854</x:v>
      </x:c>
    </x:row>
    <x:row r="96">
      <x:c r="A96" s="1" t="str">
        <x:v>2017-06-01</x:v>
      </x:c>
      <x:c r="B96" s="1" t="str">
        <x:v>2018-01-01</x:v>
      </x:c>
      <x:c r="C96" s="1" t="n">
        <x:v>7</x:v>
      </x:c>
      <x:c r="D96" s="1" t="n">
        <x:v>7</x:v>
      </x:c>
      <x:c r="E96" s="1" t="n">
        <x:v>3037</x:v>
      </x:c>
      <x:c r="F96" s="9" t="n">
        <x:v>0.0023049061573921633</x:v>
      </x:c>
    </x:row>
    <x:row r="97">
      <x:c r="A97" s="1" t="str">
        <x:v>2017-06-01</x:v>
      </x:c>
      <x:c r="B97" s="1" t="str">
        <x:v>2018-02-01</x:v>
      </x:c>
      <x:c r="C97" s="1" t="n">
        <x:v>8</x:v>
      </x:c>
      <x:c r="D97" s="1" t="n">
        <x:v>4</x:v>
      </x:c>
      <x:c r="E97" s="1" t="n">
        <x:v>3037</x:v>
      </x:c>
      <x:c r="F97" s="9" t="n">
        <x:v>0.0013170892327955218</x:v>
      </x:c>
    </x:row>
    <x:row r="98">
      <x:c r="A98" s="1" t="str">
        <x:v>2017-06-01</x:v>
      </x:c>
      <x:c r="B98" s="1" t="str">
        <x:v>2018-03-01</x:v>
      </x:c>
      <x:c r="C98" s="1" t="n">
        <x:v>9</x:v>
      </x:c>
      <x:c r="D98" s="1" t="n">
        <x:v>6</x:v>
      </x:c>
      <x:c r="E98" s="1" t="n">
        <x:v>3037</x:v>
      </x:c>
      <x:c r="F98" s="9" t="n">
        <x:v>0.001975633849193283</x:v>
      </x:c>
    </x:row>
    <x:row r="99">
      <x:c r="A99" s="1" t="str">
        <x:v>2017-06-01</x:v>
      </x:c>
      <x:c r="B99" s="1" t="str">
        <x:v>2018-04-01</x:v>
      </x:c>
      <x:c r="C99" s="1" t="n">
        <x:v>10</x:v>
      </x:c>
      <x:c r="D99" s="1" t="n">
        <x:v>9</x:v>
      </x:c>
      <x:c r="E99" s="1" t="n">
        <x:v>3037</x:v>
      </x:c>
      <x:c r="F99" s="9" t="n">
        <x:v>0.0029634507737899243</x:v>
      </x:c>
    </x:row>
    <x:row r="100">
      <x:c r="A100" s="1" t="str">
        <x:v>2017-06-01</x:v>
      </x:c>
      <x:c r="B100" s="1" t="str">
        <x:v>2018-05-01</x:v>
      </x:c>
      <x:c r="C100" s="1" t="n">
        <x:v>11</x:v>
      </x:c>
      <x:c r="D100" s="1" t="n">
        <x:v>11</x:v>
      </x:c>
      <x:c r="E100" s="1" t="n">
        <x:v>3037</x:v>
      </x:c>
      <x:c r="F100" s="9" t="n">
        <x:v>0.0036219953901876854</x:v>
      </x:c>
    </x:row>
    <x:row r="101">
      <x:c r="A101" s="1" t="str">
        <x:v>2017-06-01</x:v>
      </x:c>
      <x:c r="B101" s="1" t="str">
        <x:v>2018-06-01</x:v>
      </x:c>
      <x:c r="C101" s="1" t="n">
        <x:v>12</x:v>
      </x:c>
      <x:c r="D101" s="1" t="n">
        <x:v>5</x:v>
      </x:c>
      <x:c r="E101" s="1" t="n">
        <x:v>3037</x:v>
      </x:c>
      <x:c r="F101" s="9" t="n">
        <x:v>0.0016463615409944023</x:v>
      </x:c>
    </x:row>
    <x:row r="102">
      <x:c r="A102" s="1" t="str">
        <x:v>2017-06-01</x:v>
      </x:c>
      <x:c r="B102" s="1" t="str">
        <x:v>2018-07-01</x:v>
      </x:c>
      <x:c r="C102" s="1" t="n">
        <x:v>13</x:v>
      </x:c>
      <x:c r="D102" s="1" t="n">
        <x:v>5</x:v>
      </x:c>
      <x:c r="E102" s="1" t="n">
        <x:v>3037</x:v>
      </x:c>
      <x:c r="F102" s="9" t="n">
        <x:v>0.0016463615409944023</x:v>
      </x:c>
    </x:row>
    <x:row r="103">
      <x:c r="A103" s="1" t="str">
        <x:v>2017-06-01</x:v>
      </x:c>
      <x:c r="B103" s="1" t="str">
        <x:v>2018-08-01</x:v>
      </x:c>
      <x:c r="C103" s="1" t="n">
        <x:v>14</x:v>
      </x:c>
      <x:c r="D103" s="1" t="n">
        <x:v>7</x:v>
      </x:c>
      <x:c r="E103" s="1" t="n">
        <x:v>3037</x:v>
      </x:c>
      <x:c r="F103" s="9" t="n">
        <x:v>0.0023049061573921633</x:v>
      </x:c>
    </x:row>
    <x:row r="104">
      <x:c r="A104" s="1" t="str">
        <x:v>2017-07-01</x:v>
      </x:c>
      <x:c r="B104" s="1" t="str">
        <x:v>2017-07-01</x:v>
      </x:c>
      <x:c r="C104" s="1" t="n">
        <x:v>0</x:v>
      </x:c>
      <x:c r="D104" s="1" t="n">
        <x:v>3753</x:v>
      </x:c>
      <x:c r="E104" s="1" t="n">
        <x:v>3753</x:v>
      </x:c>
      <x:c r="F104" s="9" t="n">
        <x:v>1</x:v>
      </x:c>
    </x:row>
    <x:row r="105">
      <x:c r="A105" s="1" t="str">
        <x:v>2017-07-01</x:v>
      </x:c>
      <x:c r="B105" s="1" t="str">
        <x:v>2017-08-01</x:v>
      </x:c>
      <x:c r="C105" s="1" t="n">
        <x:v>1</x:v>
      </x:c>
      <x:c r="D105" s="1" t="n">
        <x:v>20</x:v>
      </x:c>
      <x:c r="E105" s="1" t="n">
        <x:v>3753</x:v>
      </x:c>
      <x:c r="F105" s="9" t="n">
        <x:v>0.005329070077271516</x:v>
      </x:c>
    </x:row>
    <x:row r="106">
      <x:c r="A106" s="1" t="str">
        <x:v>2017-07-01</x:v>
      </x:c>
      <x:c r="B106" s="1" t="str">
        <x:v>2017-09-01</x:v>
      </x:c>
      <x:c r="C106" s="1" t="n">
        <x:v>2</x:v>
      </x:c>
      <x:c r="D106" s="1" t="n">
        <x:v>13</x:v>
      </x:c>
      <x:c r="E106" s="1" t="n">
        <x:v>3753</x:v>
      </x:c>
      <x:c r="F106" s="9" t="n">
        <x:v>0.0034638955502264853</x:v>
      </x:c>
    </x:row>
    <x:row r="107">
      <x:c r="A107" s="1" t="str">
        <x:v>2017-07-01</x:v>
      </x:c>
      <x:c r="B107" s="1" t="str">
        <x:v>2017-10-01</x:v>
      </x:c>
      <x:c r="C107" s="1" t="n">
        <x:v>3</x:v>
      </x:c>
      <x:c r="D107" s="1" t="n">
        <x:v>9</x:v>
      </x:c>
      <x:c r="E107" s="1" t="n">
        <x:v>3753</x:v>
      </x:c>
      <x:c r="F107" s="9" t="n">
        <x:v>0.002398081534772182</x:v>
      </x:c>
    </x:row>
    <x:row r="108">
      <x:c r="A108" s="1" t="str">
        <x:v>2017-07-01</x:v>
      </x:c>
      <x:c r="B108" s="1" t="str">
        <x:v>2017-11-01</x:v>
      </x:c>
      <x:c r="C108" s="1" t="n">
        <x:v>4</x:v>
      </x:c>
      <x:c r="D108" s="1" t="n">
        <x:v>11</x:v>
      </x:c>
      <x:c r="E108" s="1" t="n">
        <x:v>3753</x:v>
      </x:c>
      <x:c r="F108" s="9" t="n">
        <x:v>0.002930988542499334</x:v>
      </x:c>
    </x:row>
    <x:row r="109">
      <x:c r="A109" s="1" t="str">
        <x:v>2017-07-01</x:v>
      </x:c>
      <x:c r="B109" s="1" t="str">
        <x:v>2017-12-01</x:v>
      </x:c>
      <x:c r="C109" s="1" t="n">
        <x:v>5</x:v>
      </x:c>
      <x:c r="D109" s="1" t="n">
        <x:v>8</x:v>
      </x:c>
      <x:c r="E109" s="1" t="n">
        <x:v>3753</x:v>
      </x:c>
      <x:c r="F109" s="9" t="n">
        <x:v>0.0021316280309086064</x:v>
      </x:c>
    </x:row>
    <x:row r="110">
      <x:c r="A110" s="1" t="str">
        <x:v>2017-07-01</x:v>
      </x:c>
      <x:c r="B110" s="1" t="str">
        <x:v>2018-01-01</x:v>
      </x:c>
      <x:c r="C110" s="1" t="n">
        <x:v>6</x:v>
      </x:c>
      <x:c r="D110" s="1" t="n">
        <x:v>12</x:v>
      </x:c>
      <x:c r="E110" s="1" t="n">
        <x:v>3753</x:v>
      </x:c>
      <x:c r="F110" s="9" t="n">
        <x:v>0.0031974420463629096</x:v>
      </x:c>
    </x:row>
    <x:row r="111">
      <x:c r="A111" s="1" t="str">
        <x:v>2017-07-01</x:v>
      </x:c>
      <x:c r="B111" s="1" t="str">
        <x:v>2018-02-01</x:v>
      </x:c>
      <x:c r="C111" s="1" t="n">
        <x:v>7</x:v>
      </x:c>
      <x:c r="D111" s="1" t="n">
        <x:v>4</x:v>
      </x:c>
      <x:c r="E111" s="1" t="n">
        <x:v>3753</x:v>
      </x:c>
      <x:c r="F111" s="9" t="n">
        <x:v>0.0010658140154543032</x:v>
      </x:c>
    </x:row>
    <x:row r="112">
      <x:c r="A112" s="1" t="str">
        <x:v>2017-07-01</x:v>
      </x:c>
      <x:c r="B112" s="1" t="str">
        <x:v>2018-03-01</x:v>
      </x:c>
      <x:c r="C112" s="1" t="n">
        <x:v>8</x:v>
      </x:c>
      <x:c r="D112" s="1" t="n">
        <x:v>7</x:v>
      </x:c>
      <x:c r="E112" s="1" t="n">
        <x:v>3753</x:v>
      </x:c>
      <x:c r="F112" s="9" t="n">
        <x:v>0.0018651745270450307</x:v>
      </x:c>
    </x:row>
    <x:row r="113">
      <x:c r="A113" s="1" t="str">
        <x:v>2017-07-01</x:v>
      </x:c>
      <x:c r="B113" s="1" t="str">
        <x:v>2018-04-01</x:v>
      </x:c>
      <x:c r="C113" s="1" t="n">
        <x:v>9</x:v>
      </x:c>
      <x:c r="D113" s="1" t="n">
        <x:v>10</x:v>
      </x:c>
      <x:c r="E113" s="1" t="n">
        <x:v>3753</x:v>
      </x:c>
      <x:c r="F113" s="9" t="n">
        <x:v>0.002664535038635758</x:v>
      </x:c>
    </x:row>
    <x:row r="114">
      <x:c r="A114" s="1" t="str">
        <x:v>2017-07-01</x:v>
      </x:c>
      <x:c r="B114" s="1" t="str">
        <x:v>2018-05-01</x:v>
      </x:c>
      <x:c r="C114" s="1" t="n">
        <x:v>10</x:v>
      </x:c>
      <x:c r="D114" s="1" t="n">
        <x:v>8</x:v>
      </x:c>
      <x:c r="E114" s="1" t="n">
        <x:v>3753</x:v>
      </x:c>
      <x:c r="F114" s="9" t="n">
        <x:v>0.0021316280309086064</x:v>
      </x:c>
    </x:row>
    <x:row r="115">
      <x:c r="A115" s="1" t="str">
        <x:v>2017-07-01</x:v>
      </x:c>
      <x:c r="B115" s="1" t="str">
        <x:v>2018-06-01</x:v>
      </x:c>
      <x:c r="C115" s="1" t="n">
        <x:v>11</x:v>
      </x:c>
      <x:c r="D115" s="1" t="n">
        <x:v>11</x:v>
      </x:c>
      <x:c r="E115" s="1" t="n">
        <x:v>3753</x:v>
      </x:c>
      <x:c r="F115" s="9" t="n">
        <x:v>0.002930988542499334</x:v>
      </x:c>
    </x:row>
    <x:row r="116">
      <x:c r="A116" s="1" t="str">
        <x:v>2017-07-01</x:v>
      </x:c>
      <x:c r="B116" s="1" t="str">
        <x:v>2018-07-01</x:v>
      </x:c>
      <x:c r="C116" s="1" t="n">
        <x:v>12</x:v>
      </x:c>
      <x:c r="D116" s="1" t="n">
        <x:v>5</x:v>
      </x:c>
      <x:c r="E116" s="1" t="n">
        <x:v>3753</x:v>
      </x:c>
      <x:c r="F116" s="9" t="n">
        <x:v>0.001332267519317879</x:v>
      </x:c>
    </x:row>
    <x:row r="117">
      <x:c r="A117" s="1" t="str">
        <x:v>2017-07-01</x:v>
      </x:c>
      <x:c r="B117" s="1" t="str">
        <x:v>2018-08-01</x:v>
      </x:c>
      <x:c r="C117" s="1" t="n">
        <x:v>13</x:v>
      </x:c>
      <x:c r="D117" s="1" t="n">
        <x:v>9</x:v>
      </x:c>
      <x:c r="E117" s="1" t="n">
        <x:v>3753</x:v>
      </x:c>
      <x:c r="F117" s="9" t="n">
        <x:v>0.002398081534772182</x:v>
      </x:c>
    </x:row>
    <x:row r="118">
      <x:c r="A118" s="1" t="str">
        <x:v>2017-08-01</x:v>
      </x:c>
      <x:c r="B118" s="1" t="str">
        <x:v>2017-08-01</x:v>
      </x:c>
      <x:c r="C118" s="1" t="n">
        <x:v>0</x:v>
      </x:c>
      <x:c r="D118" s="1" t="n">
        <x:v>4057</x:v>
      </x:c>
      <x:c r="E118" s="1" t="n">
        <x:v>4057</x:v>
      </x:c>
      <x:c r="F118" s="9" t="n">
        <x:v>1</x:v>
      </x:c>
    </x:row>
    <x:row r="119">
      <x:c r="A119" s="1" t="str">
        <x:v>2017-08-01</x:v>
      </x:c>
      <x:c r="B119" s="1" t="str">
        <x:v>2017-09-01</x:v>
      </x:c>
      <x:c r="C119" s="1" t="n">
        <x:v>1</x:v>
      </x:c>
      <x:c r="D119" s="1" t="n">
        <x:v>28</x:v>
      </x:c>
      <x:c r="E119" s="1" t="n">
        <x:v>4057</x:v>
      </x:c>
      <x:c r="F119" s="9" t="n">
        <x:v>0.006901651466600937</x:v>
      </x:c>
    </x:row>
    <x:row r="120">
      <x:c r="A120" s="1" t="str">
        <x:v>2017-08-01</x:v>
      </x:c>
      <x:c r="B120" s="1" t="str">
        <x:v>2017-10-01</x:v>
      </x:c>
      <x:c r="C120" s="1" t="n">
        <x:v>2</x:v>
      </x:c>
      <x:c r="D120" s="1" t="n">
        <x:v>14</x:v>
      </x:c>
      <x:c r="E120" s="1" t="n">
        <x:v>4057</x:v>
      </x:c>
      <x:c r="F120" s="9" t="n">
        <x:v>0.0034508257333004683</x:v>
      </x:c>
    </x:row>
    <x:row r="121">
      <x:c r="A121" s="1" t="str">
        <x:v>2017-08-01</x:v>
      </x:c>
      <x:c r="B121" s="1" t="str">
        <x:v>2017-11-01</x:v>
      </x:c>
      <x:c r="C121" s="1" t="n">
        <x:v>3</x:v>
      </x:c>
      <x:c r="D121" s="1" t="n">
        <x:v>11</x:v>
      </x:c>
      <x:c r="E121" s="1" t="n">
        <x:v>4057</x:v>
      </x:c>
      <x:c r="F121" s="9" t="n">
        <x:v>0.0027113630761646536</x:v>
      </x:c>
    </x:row>
    <x:row r="122">
      <x:c r="A122" s="1" t="str">
        <x:v>2017-08-01</x:v>
      </x:c>
      <x:c r="B122" s="1" t="str">
        <x:v>2017-12-01</x:v>
      </x:c>
      <x:c r="C122" s="1" t="n">
        <x:v>4</x:v>
      </x:c>
      <x:c r="D122" s="1" t="n">
        <x:v>14</x:v>
      </x:c>
      <x:c r="E122" s="1" t="n">
        <x:v>4057</x:v>
      </x:c>
      <x:c r="F122" s="9" t="n">
        <x:v>0.0034508257333004683</x:v>
      </x:c>
    </x:row>
    <x:row r="123">
      <x:c r="A123" s="1" t="str">
        <x:v>2017-08-01</x:v>
      </x:c>
      <x:c r="B123" s="1" t="str">
        <x:v>2018-01-01</x:v>
      </x:c>
      <x:c r="C123" s="1" t="n">
        <x:v>5</x:v>
      </x:c>
      <x:c r="D123" s="1" t="n">
        <x:v>21</x:v>
      </x:c>
      <x:c r="E123" s="1" t="n">
        <x:v>4057</x:v>
      </x:c>
      <x:c r="F123" s="9" t="n">
        <x:v>0.0051762385999507025</x:v>
      </x:c>
    </x:row>
    <x:row r="124">
      <x:c r="A124" s="1" t="str">
        <x:v>2017-08-01</x:v>
      </x:c>
      <x:c r="B124" s="1" t="str">
        <x:v>2018-02-01</x:v>
      </x:c>
      <x:c r="C124" s="1" t="n">
        <x:v>6</x:v>
      </x:c>
      <x:c r="D124" s="1" t="n">
        <x:v>12</x:v>
      </x:c>
      <x:c r="E124" s="1" t="n">
        <x:v>4057</x:v>
      </x:c>
      <x:c r="F124" s="9" t="n">
        <x:v>0.0029578506285432584</x:v>
      </x:c>
    </x:row>
    <x:row r="125">
      <x:c r="A125" s="1" t="str">
        <x:v>2017-08-01</x:v>
      </x:c>
      <x:c r="B125" s="1" t="str">
        <x:v>2018-03-01</x:v>
      </x:c>
      <x:c r="C125" s="1" t="n">
        <x:v>7</x:v>
      </x:c>
      <x:c r="D125" s="1" t="n">
        <x:v>11</x:v>
      </x:c>
      <x:c r="E125" s="1" t="n">
        <x:v>4057</x:v>
      </x:c>
      <x:c r="F125" s="9" t="n">
        <x:v>0.0027113630761646536</x:v>
      </x:c>
    </x:row>
    <x:row r="126">
      <x:c r="A126" s="1" t="str">
        <x:v>2017-08-01</x:v>
      </x:c>
      <x:c r="B126" s="1" t="str">
        <x:v>2018-04-01</x:v>
      </x:c>
      <x:c r="C126" s="1" t="n">
        <x:v>8</x:v>
      </x:c>
      <x:c r="D126" s="1" t="n">
        <x:v>6</x:v>
      </x:c>
      <x:c r="E126" s="1" t="n">
        <x:v>4057</x:v>
      </x:c>
      <x:c r="F126" s="9" t="n">
        <x:v>0.0014789253142716292</x:v>
      </x:c>
    </x:row>
    <x:row r="127">
      <x:c r="A127" s="1" t="str">
        <x:v>2017-08-01</x:v>
      </x:c>
      <x:c r="B127" s="1" t="str">
        <x:v>2018-05-01</x:v>
      </x:c>
      <x:c r="C127" s="1" t="n">
        <x:v>9</x:v>
      </x:c>
      <x:c r="D127" s="1" t="n">
        <x:v>6</x:v>
      </x:c>
      <x:c r="E127" s="1" t="n">
        <x:v>4057</x:v>
      </x:c>
      <x:c r="F127" s="9" t="n">
        <x:v>0.0014789253142716292</x:v>
      </x:c>
    </x:row>
    <x:row r="128">
      <x:c r="A128" s="1" t="str">
        <x:v>2017-08-01</x:v>
      </x:c>
      <x:c r="B128" s="1" t="str">
        <x:v>2018-06-01</x:v>
      </x:c>
      <x:c r="C128" s="1" t="n">
        <x:v>10</x:v>
      </x:c>
      <x:c r="D128" s="1" t="n">
        <x:v>10</x:v>
      </x:c>
      <x:c r="E128" s="1" t="n">
        <x:v>4057</x:v>
      </x:c>
      <x:c r="F128" s="9" t="n">
        <x:v>0.002464875523786049</x:v>
      </x:c>
    </x:row>
    <x:row r="129">
      <x:c r="A129" s="1" t="str">
        <x:v>2017-08-01</x:v>
      </x:c>
      <x:c r="B129" s="1" t="str">
        <x:v>2018-07-01</x:v>
      </x:c>
      <x:c r="C129" s="1" t="n">
        <x:v>11</x:v>
      </x:c>
      <x:c r="D129" s="1" t="n">
        <x:v>8</x:v>
      </x:c>
      <x:c r="E129" s="1" t="n">
        <x:v>4057</x:v>
      </x:c>
      <x:c r="F129" s="9" t="n">
        <x:v>0.001971900419028839</x:v>
      </x:c>
    </x:row>
    <x:row r="130">
      <x:c r="A130" s="1" t="str">
        <x:v>2017-08-01</x:v>
      </x:c>
      <x:c r="B130" s="1" t="str">
        <x:v>2018-08-01</x:v>
      </x:c>
      <x:c r="C130" s="1" t="n">
        <x:v>12</x:v>
      </x:c>
      <x:c r="D130" s="1" t="n">
        <x:v>5</x:v>
      </x:c>
      <x:c r="E130" s="1" t="n">
        <x:v>4057</x:v>
      </x:c>
      <x:c r="F130" s="9" t="n">
        <x:v>0.0012324377618930244</x:v>
      </x:c>
    </x:row>
    <x:row r="131">
      <x:c r="A131" s="1" t="str">
        <x:v>2017-09-01</x:v>
      </x:c>
      <x:c r="B131" s="1" t="str">
        <x:v>2017-09-01</x:v>
      </x:c>
      <x:c r="C131" s="1" t="n">
        <x:v>0</x:v>
      </x:c>
      <x:c r="D131" s="1" t="n">
        <x:v>4005</x:v>
      </x:c>
      <x:c r="E131" s="1" t="n">
        <x:v>4005</x:v>
      </x:c>
      <x:c r="F131" s="9" t="n">
        <x:v>1</x:v>
      </x:c>
    </x:row>
    <x:row r="132">
      <x:c r="A132" s="1" t="str">
        <x:v>2017-09-01</x:v>
      </x:c>
      <x:c r="B132" s="1" t="str">
        <x:v>2017-10-01</x:v>
      </x:c>
      <x:c r="C132" s="1" t="n">
        <x:v>1</x:v>
      </x:c>
      <x:c r="D132" s="1" t="n">
        <x:v>28</x:v>
      </x:c>
      <x:c r="E132" s="1" t="n">
        <x:v>4005</x:v>
      </x:c>
      <x:c r="F132" s="9" t="n">
        <x:v>0.006991260923845194</x:v>
      </x:c>
    </x:row>
    <x:row r="133">
      <x:c r="A133" s="1" t="str">
        <x:v>2017-09-01</x:v>
      </x:c>
      <x:c r="B133" s="1" t="str">
        <x:v>2017-11-01</x:v>
      </x:c>
      <x:c r="C133" s="1" t="n">
        <x:v>2</x:v>
      </x:c>
      <x:c r="D133" s="1" t="n">
        <x:v>22</x:v>
      </x:c>
      <x:c r="E133" s="1" t="n">
        <x:v>4005</x:v>
      </x:c>
      <x:c r="F133" s="9" t="n">
        <x:v>0.005493133583021223</x:v>
      </x:c>
    </x:row>
    <x:row r="134">
      <x:c r="A134" s="1" t="str">
        <x:v>2017-09-01</x:v>
      </x:c>
      <x:c r="B134" s="1" t="str">
        <x:v>2017-12-01</x:v>
      </x:c>
      <x:c r="C134" s="1" t="n">
        <x:v>3</x:v>
      </x:c>
      <x:c r="D134" s="1" t="n">
        <x:v>11</x:v>
      </x:c>
      <x:c r="E134" s="1" t="n">
        <x:v>4005</x:v>
      </x:c>
      <x:c r="F134" s="9" t="n">
        <x:v>0.0027465667915106116</x:v>
      </x:c>
    </x:row>
    <x:row r="135">
      <x:c r="A135" s="1" t="str">
        <x:v>2017-09-01</x:v>
      </x:c>
      <x:c r="B135" s="1" t="str">
        <x:v>2018-01-01</x:v>
      </x:c>
      <x:c r="C135" s="1" t="n">
        <x:v>4</x:v>
      </x:c>
      <x:c r="D135" s="1" t="n">
        <x:v>18</x:v>
      </x:c>
      <x:c r="E135" s="1" t="n">
        <x:v>4005</x:v>
      </x:c>
      <x:c r="F135" s="9" t="n">
        <x:v>0.0044943820224719105</x:v>
      </x:c>
    </x:row>
    <x:row r="136">
      <x:c r="A136" s="1" t="str">
        <x:v>2017-09-01</x:v>
      </x:c>
      <x:c r="B136" s="1" t="str">
        <x:v>2018-02-01</x:v>
      </x:c>
      <x:c r="C136" s="1" t="n">
        <x:v>5</x:v>
      </x:c>
      <x:c r="D136" s="1" t="n">
        <x:v>9</x:v>
      </x:c>
      <x:c r="E136" s="1" t="n">
        <x:v>4005</x:v>
      </x:c>
      <x:c r="F136" s="9" t="n">
        <x:v>0.0022471910112359553</x:v>
      </x:c>
    </x:row>
    <x:row r="137">
      <x:c r="A137" s="1" t="str">
        <x:v>2017-09-01</x:v>
      </x:c>
      <x:c r="B137" s="1" t="str">
        <x:v>2018-03-01</x:v>
      </x:c>
      <x:c r="C137" s="1" t="n">
        <x:v>6</x:v>
      </x:c>
      <x:c r="D137" s="1" t="n">
        <x:v>9</x:v>
      </x:c>
      <x:c r="E137" s="1" t="n">
        <x:v>4005</x:v>
      </x:c>
      <x:c r="F137" s="9" t="n">
        <x:v>0.0022471910112359553</x:v>
      </x:c>
    </x:row>
    <x:row r="138">
      <x:c r="A138" s="1" t="str">
        <x:v>2017-09-01</x:v>
      </x:c>
      <x:c r="B138" s="1" t="str">
        <x:v>2018-04-01</x:v>
      </x:c>
      <x:c r="C138" s="1" t="n">
        <x:v>7</x:v>
      </x:c>
      <x:c r="D138" s="1" t="n">
        <x:v>10</x:v>
      </x:c>
      <x:c r="E138" s="1" t="n">
        <x:v>4005</x:v>
      </x:c>
      <x:c r="F138" s="9" t="n">
        <x:v>0.0024968789013732834</x:v>
      </x:c>
    </x:row>
    <x:row r="139">
      <x:c r="A139" s="1" t="str">
        <x:v>2017-09-01</x:v>
      </x:c>
      <x:c r="B139" s="1" t="str">
        <x:v>2018-05-01</x:v>
      </x:c>
      <x:c r="C139" s="1" t="n">
        <x:v>8</x:v>
      </x:c>
      <x:c r="D139" s="1" t="n">
        <x:v>11</x:v>
      </x:c>
      <x:c r="E139" s="1" t="n">
        <x:v>4005</x:v>
      </x:c>
      <x:c r="F139" s="9" t="n">
        <x:v>0.0027465667915106116</x:v>
      </x:c>
    </x:row>
    <x:row r="140">
      <x:c r="A140" s="1" t="str">
        <x:v>2017-09-01</x:v>
      </x:c>
      <x:c r="B140" s="1" t="str">
        <x:v>2018-06-01</x:v>
      </x:c>
      <x:c r="C140" s="1" t="n">
        <x:v>9</x:v>
      </x:c>
      <x:c r="D140" s="1" t="n">
        <x:v>8</x:v>
      </x:c>
      <x:c r="E140" s="1" t="n">
        <x:v>4005</x:v>
      </x:c>
      <x:c r="F140" s="9" t="n">
        <x:v>0.0019975031210986267</x:v>
      </x:c>
    </x:row>
    <x:row r="141">
      <x:c r="A141" s="1" t="str">
        <x:v>2017-09-01</x:v>
      </x:c>
      <x:c r="B141" s="1" t="str">
        <x:v>2018-07-01</x:v>
      </x:c>
      <x:c r="C141" s="1" t="n">
        <x:v>10</x:v>
      </x:c>
      <x:c r="D141" s="1" t="n">
        <x:v>10</x:v>
      </x:c>
      <x:c r="E141" s="1" t="n">
        <x:v>4005</x:v>
      </x:c>
      <x:c r="F141" s="9" t="n">
        <x:v>0.0024968789013732834</x:v>
      </x:c>
    </x:row>
    <x:row r="142">
      <x:c r="A142" s="1" t="str">
        <x:v>2017-09-01</x:v>
      </x:c>
      <x:c r="B142" s="1" t="str">
        <x:v>2018-08-01</x:v>
      </x:c>
      <x:c r="C142" s="1" t="n">
        <x:v>11</x:v>
      </x:c>
      <x:c r="D142" s="1" t="n">
        <x:v>3</x:v>
      </x:c>
      <x:c r="E142" s="1" t="n">
        <x:v>4005</x:v>
      </x:c>
      <x:c r="F142" s="9" t="n">
        <x:v>0.000749063670411985</x:v>
      </x:c>
    </x:row>
    <x:row r="143">
      <x:c r="A143" s="1" t="str">
        <x:v>2017-10-01</x:v>
      </x:c>
      <x:c r="B143" s="1" t="str">
        <x:v>2017-10-01</x:v>
      </x:c>
      <x:c r="C143" s="1" t="n">
        <x:v>0</x:v>
      </x:c>
      <x:c r="D143" s="1" t="n">
        <x:v>4328</x:v>
      </x:c>
      <x:c r="E143" s="1" t="n">
        <x:v>4328</x:v>
      </x:c>
      <x:c r="F143" s="9" t="n">
        <x:v>1</x:v>
      </x:c>
    </x:row>
    <x:row r="144">
      <x:c r="A144" s="1" t="str">
        <x:v>2017-10-01</x:v>
      </x:c>
      <x:c r="B144" s="1" t="str">
        <x:v>2017-11-01</x:v>
      </x:c>
      <x:c r="C144" s="1" t="n">
        <x:v>1</x:v>
      </x:c>
      <x:c r="D144" s="1" t="n">
        <x:v>31</x:v>
      </x:c>
      <x:c r="E144" s="1" t="n">
        <x:v>4328</x:v>
      </x:c>
      <x:c r="F144" s="9" t="n">
        <x:v>0.007162661737523105</x:v>
      </x:c>
    </x:row>
    <x:row r="145">
      <x:c r="A145" s="1" t="str">
        <x:v>2017-10-01</x:v>
      </x:c>
      <x:c r="B145" s="1" t="str">
        <x:v>2017-12-01</x:v>
      </x:c>
      <x:c r="C145" s="1" t="n">
        <x:v>2</x:v>
      </x:c>
      <x:c r="D145" s="1" t="n">
        <x:v>11</x:v>
      </x:c>
      <x:c r="E145" s="1" t="n">
        <x:v>4328</x:v>
      </x:c>
      <x:c r="F145" s="9" t="n">
        <x:v>0.0025415896487985213</x:v>
      </x:c>
    </x:row>
    <x:row r="146">
      <x:c r="A146" s="1" t="str">
        <x:v>2017-10-01</x:v>
      </x:c>
      <x:c r="B146" s="1" t="str">
        <x:v>2018-01-01</x:v>
      </x:c>
      <x:c r="C146" s="1" t="n">
        <x:v>3</x:v>
      </x:c>
      <x:c r="D146" s="1" t="n">
        <x:v>4</x:v>
      </x:c>
      <x:c r="E146" s="1" t="n">
        <x:v>4328</x:v>
      </x:c>
      <x:c r="F146" s="9" t="n">
        <x:v>0.0009242144177449168</x:v>
      </x:c>
    </x:row>
    <x:row r="147">
      <x:c r="A147" s="1" t="str">
        <x:v>2017-10-01</x:v>
      </x:c>
      <x:c r="B147" s="1" t="str">
        <x:v>2018-02-01</x:v>
      </x:c>
      <x:c r="C147" s="1" t="n">
        <x:v>4</x:v>
      </x:c>
      <x:c r="D147" s="1" t="n">
        <x:v>10</x:v>
      </x:c>
      <x:c r="E147" s="1" t="n">
        <x:v>4328</x:v>
      </x:c>
      <x:c r="F147" s="9" t="n">
        <x:v>0.0023105360443622922</x:v>
      </x:c>
    </x:row>
    <x:row r="148">
      <x:c r="A148" s="1" t="str">
        <x:v>2017-10-01</x:v>
      </x:c>
      <x:c r="B148" s="1" t="str">
        <x:v>2018-03-01</x:v>
      </x:c>
      <x:c r="C148" s="1" t="n">
        <x:v>5</x:v>
      </x:c>
      <x:c r="D148" s="1" t="n">
        <x:v>9</x:v>
      </x:c>
      <x:c r="E148" s="1" t="n">
        <x:v>4328</x:v>
      </x:c>
      <x:c r="F148" s="9" t="n">
        <x:v>0.0020794824399260627</x:v>
      </x:c>
    </x:row>
    <x:row r="149">
      <x:c r="A149" s="1" t="str">
        <x:v>2017-10-01</x:v>
      </x:c>
      <x:c r="B149" s="1" t="str">
        <x:v>2018-04-01</x:v>
      </x:c>
      <x:c r="C149" s="1" t="n">
        <x:v>6</x:v>
      </x:c>
      <x:c r="D149" s="1" t="n">
        <x:v>9</x:v>
      </x:c>
      <x:c r="E149" s="1" t="n">
        <x:v>4328</x:v>
      </x:c>
      <x:c r="F149" s="9" t="n">
        <x:v>0.0020794824399260627</x:v>
      </x:c>
    </x:row>
    <x:row r="150">
      <x:c r="A150" s="1" t="str">
        <x:v>2017-10-01</x:v>
      </x:c>
      <x:c r="B150" s="1" t="str">
        <x:v>2018-05-01</x:v>
      </x:c>
      <x:c r="C150" s="1" t="n">
        <x:v>7</x:v>
      </x:c>
      <x:c r="D150" s="1" t="n">
        <x:v>16</x:v>
      </x:c>
      <x:c r="E150" s="1" t="n">
        <x:v>4328</x:v>
      </x:c>
      <x:c r="F150" s="9" t="n">
        <x:v>0.0036968576709796672</x:v>
      </x:c>
    </x:row>
    <x:row r="151">
      <x:c r="A151" s="1" t="str">
        <x:v>2017-10-01</x:v>
      </x:c>
      <x:c r="B151" s="1" t="str">
        <x:v>2018-06-01</x:v>
      </x:c>
      <x:c r="C151" s="1" t="n">
        <x:v>8</x:v>
      </x:c>
      <x:c r="D151" s="1" t="n">
        <x:v>12</x:v>
      </x:c>
      <x:c r="E151" s="1" t="n">
        <x:v>4328</x:v>
      </x:c>
      <x:c r="F151" s="9" t="n">
        <x:v>0.0027726432532347504</x:v>
      </x:c>
    </x:row>
    <x:row r="152">
      <x:c r="A152" s="1" t="str">
        <x:v>2017-10-01</x:v>
      </x:c>
      <x:c r="B152" s="1" t="str">
        <x:v>2018-07-01</x:v>
      </x:c>
      <x:c r="C152" s="1" t="n">
        <x:v>9</x:v>
      </x:c>
      <x:c r="D152" s="1" t="n">
        <x:v>8</x:v>
      </x:c>
      <x:c r="E152" s="1" t="n">
        <x:v>4328</x:v>
      </x:c>
      <x:c r="F152" s="9" t="n">
        <x:v>0.0018484288354898336</x:v>
      </x:c>
    </x:row>
    <x:row r="153">
      <x:c r="A153" s="1" t="str">
        <x:v>2017-10-01</x:v>
      </x:c>
      <x:c r="B153" s="1" t="str">
        <x:v>2018-08-01</x:v>
      </x:c>
      <x:c r="C153" s="1" t="n">
        <x:v>10</x:v>
      </x:c>
      <x:c r="D153" s="1" t="n">
        <x:v>9</x:v>
      </x:c>
      <x:c r="E153" s="1" t="n">
        <x:v>4328</x:v>
      </x:c>
      <x:c r="F153" s="9" t="n">
        <x:v>0.0020794824399260627</x:v>
      </x:c>
    </x:row>
    <x:row r="154">
      <x:c r="A154" s="1" t="str">
        <x:v>2017-11-01</x:v>
      </x:c>
      <x:c r="B154" s="1" t="str">
        <x:v>2017-11-01</x:v>
      </x:c>
      <x:c r="C154" s="1" t="n">
        <x:v>0</x:v>
      </x:c>
      <x:c r="D154" s="1" t="n">
        <x:v>7061</x:v>
      </x:c>
      <x:c r="E154" s="1" t="n">
        <x:v>7061</x:v>
      </x:c>
      <x:c r="F154" s="9" t="n">
        <x:v>1</x:v>
      </x:c>
    </x:row>
    <x:row r="155">
      <x:c r="A155" s="1" t="str">
        <x:v>2017-11-01</x:v>
      </x:c>
      <x:c r="B155" s="1" t="str">
        <x:v>2017-12-01</x:v>
      </x:c>
      <x:c r="C155" s="1" t="n">
        <x:v>1</x:v>
      </x:c>
      <x:c r="D155" s="1" t="n">
        <x:v>40</x:v>
      </x:c>
      <x:c r="E155" s="1" t="n">
        <x:v>7061</x:v>
      </x:c>
      <x:c r="F155" s="9" t="n">
        <x:v>0.00566491998300524</x:v>
      </x:c>
    </x:row>
    <x:row r="156">
      <x:c r="A156" s="1" t="str">
        <x:v>2017-11-01</x:v>
      </x:c>
      <x:c r="B156" s="1" t="str">
        <x:v>2018-01-01</x:v>
      </x:c>
      <x:c r="C156" s="1" t="n">
        <x:v>2</x:v>
      </x:c>
      <x:c r="D156" s="1" t="n">
        <x:v>26</x:v>
      </x:c>
      <x:c r="E156" s="1" t="n">
        <x:v>7061</x:v>
      </x:c>
      <x:c r="F156" s="9" t="n">
        <x:v>0.003682197988953406</x:v>
      </x:c>
    </x:row>
    <x:row r="157">
      <x:c r="A157" s="1" t="str">
        <x:v>2017-11-01</x:v>
      </x:c>
      <x:c r="B157" s="1" t="str">
        <x:v>2018-02-01</x:v>
      </x:c>
      <x:c r="C157" s="1" t="n">
        <x:v>3</x:v>
      </x:c>
      <x:c r="D157" s="1" t="n">
        <x:v>12</x:v>
      </x:c>
      <x:c r="E157" s="1" t="n">
        <x:v>7061</x:v>
      </x:c>
      <x:c r="F157" s="9" t="n">
        <x:v>0.001699475994901572</x:v>
      </x:c>
    </x:row>
    <x:row r="158">
      <x:c r="A158" s="1" t="str">
        <x:v>2017-11-01</x:v>
      </x:c>
      <x:c r="B158" s="1" t="str">
        <x:v>2018-03-01</x:v>
      </x:c>
      <x:c r="C158" s="1" t="n">
        <x:v>4</x:v>
      </x:c>
      <x:c r="D158" s="1" t="n">
        <x:v>12</x:v>
      </x:c>
      <x:c r="E158" s="1" t="n">
        <x:v>7061</x:v>
      </x:c>
      <x:c r="F158" s="9" t="n">
        <x:v>0.001699475994901572</x:v>
      </x:c>
    </x:row>
    <x:row r="159">
      <x:c r="A159" s="1" t="str">
        <x:v>2017-11-01</x:v>
      </x:c>
      <x:c r="B159" s="1" t="str">
        <x:v>2018-04-01</x:v>
      </x:c>
      <x:c r="C159" s="1" t="n">
        <x:v>5</x:v>
      </x:c>
      <x:c r="D159" s="1" t="n">
        <x:v>13</x:v>
      </x:c>
      <x:c r="E159" s="1" t="n">
        <x:v>7061</x:v>
      </x:c>
      <x:c r="F159" s="9" t="n">
        <x:v>0.001841098994476703</x:v>
      </x:c>
    </x:row>
    <x:row r="160">
      <x:c r="A160" s="1" t="str">
        <x:v>2017-11-01</x:v>
      </x:c>
      <x:c r="B160" s="1" t="str">
        <x:v>2018-05-01</x:v>
      </x:c>
      <x:c r="C160" s="1" t="n">
        <x:v>6</x:v>
      </x:c>
      <x:c r="D160" s="1" t="n">
        <x:v>8</x:v>
      </x:c>
      <x:c r="E160" s="1" t="n">
        <x:v>7061</x:v>
      </x:c>
      <x:c r="F160" s="9" t="n">
        <x:v>0.001132983996601048</x:v>
      </x:c>
    </x:row>
    <x:row r="161">
      <x:c r="A161" s="1" t="str">
        <x:v>2017-11-01</x:v>
      </x:c>
      <x:c r="B161" s="1" t="str">
        <x:v>2018-06-01</x:v>
      </x:c>
      <x:c r="C161" s="1" t="n">
        <x:v>7</x:v>
      </x:c>
      <x:c r="D161" s="1" t="n">
        <x:v>13</x:v>
      </x:c>
      <x:c r="E161" s="1" t="n">
        <x:v>7061</x:v>
      </x:c>
      <x:c r="F161" s="9" t="n">
        <x:v>0.001841098994476703</x:v>
      </x:c>
    </x:row>
    <x:row r="162">
      <x:c r="A162" s="1" t="str">
        <x:v>2017-11-01</x:v>
      </x:c>
      <x:c r="B162" s="1" t="str">
        <x:v>2018-07-01</x:v>
      </x:c>
      <x:c r="C162" s="1" t="n">
        <x:v>8</x:v>
      </x:c>
      <x:c r="D162" s="1" t="n">
        <x:v>9</x:v>
      </x:c>
      <x:c r="E162" s="1" t="n">
        <x:v>7061</x:v>
      </x:c>
      <x:c r="F162" s="9" t="n">
        <x:v>0.001274606996176179</x:v>
      </x:c>
    </x:row>
    <x:row r="163">
      <x:c r="A163" s="1" t="str">
        <x:v>2017-11-01</x:v>
      </x:c>
      <x:c r="B163" s="1" t="str">
        <x:v>2018-08-01</x:v>
      </x:c>
      <x:c r="C163" s="1" t="n">
        <x:v>9</x:v>
      </x:c>
      <x:c r="D163" s="1" t="n">
        <x:v>4</x:v>
      </x:c>
      <x:c r="E163" s="1" t="n">
        <x:v>7061</x:v>
      </x:c>
      <x:c r="F163" s="9" t="n">
        <x:v>0.000566491998300524</x:v>
      </x:c>
    </x:row>
    <x:row r="164">
      <x:c r="A164" s="1" t="str">
        <x:v>2017-12-01</x:v>
      </x:c>
      <x:c r="B164" s="1" t="str">
        <x:v>2017-12-01</x:v>
      </x:c>
      <x:c r="C164" s="1" t="n">
        <x:v>0</x:v>
      </x:c>
      <x:c r="D164" s="1" t="n">
        <x:v>5338</x:v>
      </x:c>
      <x:c r="E164" s="1" t="n">
        <x:v>5338</x:v>
      </x:c>
      <x:c r="F164" s="9" t="n">
        <x:v>1</x:v>
      </x:c>
    </x:row>
    <x:row r="165">
      <x:c r="A165" s="1" t="str">
        <x:v>2017-12-01</x:v>
      </x:c>
      <x:c r="B165" s="1" t="str">
        <x:v>2018-01-01</x:v>
      </x:c>
      <x:c r="C165" s="1" t="n">
        <x:v>1</x:v>
      </x:c>
      <x:c r="D165" s="1" t="n">
        <x:v>11</x:v>
      </x:c>
      <x:c r="E165" s="1" t="n">
        <x:v>5338</x:v>
      </x:c>
      <x:c r="F165" s="9" t="n">
        <x:v>0.0020606968902210565</x:v>
      </x:c>
    </x:row>
    <x:row r="166">
      <x:c r="A166" s="1" t="str">
        <x:v>2017-12-01</x:v>
      </x:c>
      <x:c r="B166" s="1" t="str">
        <x:v>2018-02-01</x:v>
      </x:c>
      <x:c r="C166" s="1" t="n">
        <x:v>2</x:v>
      </x:c>
      <x:c r="D166" s="1" t="n">
        <x:v>15</x:v>
      </x:c>
      <x:c r="E166" s="1" t="n">
        <x:v>5338</x:v>
      </x:c>
      <x:c r="F166" s="9" t="n">
        <x:v>0.002810041213937804</x:v>
      </x:c>
    </x:row>
    <x:row r="167">
      <x:c r="A167" s="1" t="str">
        <x:v>2017-12-01</x:v>
      </x:c>
      <x:c r="B167" s="1" t="str">
        <x:v>2018-03-01</x:v>
      </x:c>
      <x:c r="C167" s="1" t="n">
        <x:v>3</x:v>
      </x:c>
      <x:c r="D167" s="1" t="n">
        <x:v>18</x:v>
      </x:c>
      <x:c r="E167" s="1" t="n">
        <x:v>5338</x:v>
      </x:c>
      <x:c r="F167" s="9" t="n">
        <x:v>0.0033720494567253652</x:v>
      </x:c>
    </x:row>
    <x:row r="168">
      <x:c r="A168" s="1" t="str">
        <x:v>2017-12-01</x:v>
      </x:c>
      <x:c r="B168" s="1" t="str">
        <x:v>2018-04-01</x:v>
      </x:c>
      <x:c r="C168" s="1" t="n">
        <x:v>4</x:v>
      </x:c>
      <x:c r="D168" s="1" t="n">
        <x:v>14</x:v>
      </x:c>
      <x:c r="E168" s="1" t="n">
        <x:v>5338</x:v>
      </x:c>
      <x:c r="F168" s="9" t="n">
        <x:v>0.0026227051330086175</x:v>
      </x:c>
    </x:row>
    <x:row r="169">
      <x:c r="A169" s="1" t="str">
        <x:v>2017-12-01</x:v>
      </x:c>
      <x:c r="B169" s="1" t="str">
        <x:v>2018-05-01</x:v>
      </x:c>
      <x:c r="C169" s="1" t="n">
        <x:v>5</x:v>
      </x:c>
      <x:c r="D169" s="1" t="n">
        <x:v>11</x:v>
      </x:c>
      <x:c r="E169" s="1" t="n">
        <x:v>5338</x:v>
      </x:c>
      <x:c r="F169" s="9" t="n">
        <x:v>0.0020606968902210565</x:v>
      </x:c>
    </x:row>
    <x:row r="170">
      <x:c r="A170" s="1" t="str">
        <x:v>2017-12-01</x:v>
      </x:c>
      <x:c r="B170" s="1" t="str">
        <x:v>2018-06-01</x:v>
      </x:c>
      <x:c r="C170" s="1" t="n">
        <x:v>6</x:v>
      </x:c>
      <x:c r="D170" s="1" t="n">
        <x:v>9</x:v>
      </x:c>
      <x:c r="E170" s="1" t="n">
        <x:v>5338</x:v>
      </x:c>
      <x:c r="F170" s="9" t="n">
        <x:v>0.0016860247283626826</x:v>
      </x:c>
    </x:row>
    <x:row r="171">
      <x:c r="A171" s="1" t="str">
        <x:v>2017-12-01</x:v>
      </x:c>
      <x:c r="B171" s="1" t="str">
        <x:v>2018-07-01</x:v>
      </x:c>
      <x:c r="C171" s="1" t="n">
        <x:v>7</x:v>
      </x:c>
      <x:c r="D171" s="1" t="n">
        <x:v>1</x:v>
      </x:c>
      <x:c r="E171" s="1" t="n">
        <x:v>5338</x:v>
      </x:c>
      <x:c r="F171" s="9" t="n">
        <x:v>0.00018733608092918696</x:v>
      </x:c>
    </x:row>
    <x:row r="172">
      <x:c r="A172" s="1" t="str">
        <x:v>2017-12-01</x:v>
      </x:c>
      <x:c r="B172" s="1" t="str">
        <x:v>2018-08-01</x:v>
      </x:c>
      <x:c r="C172" s="1" t="n">
        <x:v>8</x:v>
      </x:c>
      <x:c r="D172" s="1" t="n">
        <x:v>10</x:v>
      </x:c>
      <x:c r="E172" s="1" t="n">
        <x:v>5338</x:v>
      </x:c>
      <x:c r="F172" s="9" t="n">
        <x:v>0.0018733608092918695</x:v>
      </x:c>
    </x:row>
    <x:row r="173">
      <x:c r="A173" s="1" t="str">
        <x:v>2018-01-01</x:v>
      </x:c>
      <x:c r="B173" s="1" t="str">
        <x:v>2018-01-01</x:v>
      </x:c>
      <x:c r="C173" s="1" t="n">
        <x:v>0</x:v>
      </x:c>
      <x:c r="D173" s="1" t="n">
        <x:v>6843</x:v>
      </x:c>
      <x:c r="E173" s="1" t="n">
        <x:v>6843</x:v>
      </x:c>
      <x:c r="F173" s="9" t="n">
        <x:v>1</x:v>
      </x:c>
    </x:row>
    <x:row r="174">
      <x:c r="A174" s="1" t="str">
        <x:v>2018-01-01</x:v>
      </x:c>
      <x:c r="B174" s="1" t="str">
        <x:v>2018-02-01</x:v>
      </x:c>
      <x:c r="C174" s="1" t="n">
        <x:v>1</x:v>
      </x:c>
      <x:c r="D174" s="1" t="n">
        <x:v>23</x:v>
      </x:c>
      <x:c r="E174" s="1" t="n">
        <x:v>6843</x:v>
      </x:c>
      <x:c r="F174" s="9" t="n">
        <x:v>0.0033610989332164254</x:v>
      </x:c>
    </x:row>
    <x:row r="175">
      <x:c r="A175" s="1" t="str">
        <x:v>2018-01-01</x:v>
      </x:c>
      <x:c r="B175" s="1" t="str">
        <x:v>2018-03-01</x:v>
      </x:c>
      <x:c r="C175" s="1" t="n">
        <x:v>2</x:v>
      </x:c>
      <x:c r="D175" s="1" t="n">
        <x:v>25</x:v>
      </x:c>
      <x:c r="E175" s="1" t="n">
        <x:v>6843</x:v>
      </x:c>
      <x:c r="F175" s="9" t="n">
        <x:v>0.0036533684056700277</x:v>
      </x:c>
    </x:row>
    <x:row r="176">
      <x:c r="A176" s="1" t="str">
        <x:v>2018-01-01</x:v>
      </x:c>
      <x:c r="B176" s="1" t="str">
        <x:v>2018-04-01</x:v>
      </x:c>
      <x:c r="C176" s="1" t="n">
        <x:v>3</x:v>
      </x:c>
      <x:c r="D176" s="1" t="n">
        <x:v>20</x:v>
      </x:c>
      <x:c r="E176" s="1" t="n">
        <x:v>6843</x:v>
      </x:c>
      <x:c r="F176" s="9" t="n">
        <x:v>0.0029226947245360223</x:v>
      </x:c>
    </x:row>
    <x:row r="177">
      <x:c r="A177" s="1" t="str">
        <x:v>2018-01-01</x:v>
      </x:c>
      <x:c r="B177" s="1" t="str">
        <x:v>2018-05-01</x:v>
      </x:c>
      <x:c r="C177" s="1" t="n">
        <x:v>4</x:v>
      </x:c>
      <x:c r="D177" s="1" t="n">
        <x:v>20</x:v>
      </x:c>
      <x:c r="E177" s="1" t="n">
        <x:v>6843</x:v>
      </x:c>
      <x:c r="F177" s="9" t="n">
        <x:v>0.0029226947245360223</x:v>
      </x:c>
    </x:row>
    <x:row r="178">
      <x:c r="A178" s="1" t="str">
        <x:v>2018-01-01</x:v>
      </x:c>
      <x:c r="B178" s="1" t="str">
        <x:v>2018-06-01</x:v>
      </x:c>
      <x:c r="C178" s="1" t="n">
        <x:v>5</x:v>
      </x:c>
      <x:c r="D178" s="1" t="n">
        <x:v>11</x:v>
      </x:c>
      <x:c r="E178" s="1" t="n">
        <x:v>6843</x:v>
      </x:c>
      <x:c r="F178" s="9" t="n">
        <x:v>0.0016074820984948123</x:v>
      </x:c>
    </x:row>
    <x:row r="179">
      <x:c r="A179" s="1" t="str">
        <x:v>2018-01-01</x:v>
      </x:c>
      <x:c r="B179" s="1" t="str">
        <x:v>2018-07-01</x:v>
      </x:c>
      <x:c r="C179" s="1" t="n">
        <x:v>6</x:v>
      </x:c>
      <x:c r="D179" s="1" t="n">
        <x:v>12</x:v>
      </x:c>
      <x:c r="E179" s="1" t="n">
        <x:v>6843</x:v>
      </x:c>
      <x:c r="F179" s="9" t="n">
        <x:v>0.0017536168347216134</x:v>
      </x:c>
    </x:row>
    <x:row r="180">
      <x:c r="A180" s="1" t="str">
        <x:v>2018-01-01</x:v>
      </x:c>
      <x:c r="B180" s="1" t="str">
        <x:v>2018-08-01</x:v>
      </x:c>
      <x:c r="C180" s="1" t="n">
        <x:v>7</x:v>
      </x:c>
      <x:c r="D180" s="1" t="n">
        <x:v>16</x:v>
      </x:c>
      <x:c r="E180" s="1" t="n">
        <x:v>6843</x:v>
      </x:c>
      <x:c r="F180" s="9" t="n">
        <x:v>0.002338155779628818</x:v>
      </x:c>
    </x:row>
    <x:row r="181">
      <x:c r="A181" s="1" t="str">
        <x:v>2018-02-01</x:v>
      </x:c>
      <x:c r="B181" s="1" t="str">
        <x:v>2018-02-01</x:v>
      </x:c>
      <x:c r="C181" s="1" t="n">
        <x:v>0</x:v>
      </x:c>
      <x:c r="D181" s="1" t="n">
        <x:v>6288</x:v>
      </x:c>
      <x:c r="E181" s="1" t="n">
        <x:v>6288</x:v>
      </x:c>
      <x:c r="F181" s="9" t="n">
        <x:v>1</x:v>
      </x:c>
    </x:row>
    <x:row r="182">
      <x:c r="A182" s="1" t="str">
        <x:v>2018-02-01</x:v>
      </x:c>
      <x:c r="B182" s="1" t="str">
        <x:v>2018-03-01</x:v>
      </x:c>
      <x:c r="C182" s="1" t="n">
        <x:v>1</x:v>
      </x:c>
      <x:c r="D182" s="1" t="n">
        <x:v>22</x:v>
      </x:c>
      <x:c r="E182" s="1" t="n">
        <x:v>6288</x:v>
      </x:c>
      <x:c r="F182" s="9" t="n">
        <x:v>0.003498727735368957</x:v>
      </x:c>
    </x:row>
    <x:row r="183">
      <x:c r="A183" s="1" t="str">
        <x:v>2018-02-01</x:v>
      </x:c>
      <x:c r="B183" s="1" t="str">
        <x:v>2018-04-01</x:v>
      </x:c>
      <x:c r="C183" s="1" t="n">
        <x:v>2</x:v>
      </x:c>
      <x:c r="D183" s="1" t="n">
        <x:v>25</x:v>
      </x:c>
      <x:c r="E183" s="1" t="n">
        <x:v>6288</x:v>
      </x:c>
      <x:c r="F183" s="9" t="n">
        <x:v>0.003975826972010178</x:v>
      </x:c>
    </x:row>
    <x:row r="184">
      <x:c r="A184" s="1" t="str">
        <x:v>2018-02-01</x:v>
      </x:c>
      <x:c r="B184" s="1" t="str">
        <x:v>2018-05-01</x:v>
      </x:c>
      <x:c r="C184" s="1" t="n">
        <x:v>3</x:v>
      </x:c>
      <x:c r="D184" s="1" t="n">
        <x:v>19</x:v>
      </x:c>
      <x:c r="E184" s="1" t="n">
        <x:v>6288</x:v>
      </x:c>
      <x:c r="F184" s="9" t="n">
        <x:v>0.0030216284987277355</x:v>
      </x:c>
    </x:row>
    <x:row r="185">
      <x:c r="A185" s="1" t="str">
        <x:v>2018-02-01</x:v>
      </x:c>
      <x:c r="B185" s="1" t="str">
        <x:v>2018-06-01</x:v>
      </x:c>
      <x:c r="C185" s="1" t="n">
        <x:v>4</x:v>
      </x:c>
      <x:c r="D185" s="1" t="n">
        <x:v>16</x:v>
      </x:c>
      <x:c r="E185" s="1" t="n">
        <x:v>6288</x:v>
      </x:c>
      <x:c r="F185" s="9" t="n">
        <x:v>0.002544529262086514</x:v>
      </x:c>
    </x:row>
    <x:row r="186">
      <x:c r="A186" s="1" t="str">
        <x:v>2018-02-01</x:v>
      </x:c>
      <x:c r="B186" s="1" t="str">
        <x:v>2018-07-01</x:v>
      </x:c>
      <x:c r="C186" s="1" t="n">
        <x:v>5</x:v>
      </x:c>
      <x:c r="D186" s="1" t="n">
        <x:v>14</x:v>
      </x:c>
      <x:c r="E186" s="1" t="n">
        <x:v>6288</x:v>
      </x:c>
      <x:c r="F186" s="9" t="n">
        <x:v>0.0022264631043256997</x:v>
      </x:c>
    </x:row>
    <x:row r="187">
      <x:c r="A187" s="1" t="str">
        <x:v>2018-02-01</x:v>
      </x:c>
      <x:c r="B187" s="1" t="str">
        <x:v>2018-08-01</x:v>
      </x:c>
      <x:c r="C187" s="1" t="n">
        <x:v>6</x:v>
      </x:c>
      <x:c r="D187" s="1" t="n">
        <x:v>13</x:v>
      </x:c>
      <x:c r="E187" s="1" t="n">
        <x:v>6288</x:v>
      </x:c>
      <x:c r="F187" s="9" t="n">
        <x:v>0.0020674300254452924</x:v>
      </x:c>
    </x:row>
    <x:row r="188">
      <x:c r="A188" s="1" t="str">
        <x:v>2018-03-01</x:v>
      </x:c>
      <x:c r="B188" s="1" t="str">
        <x:v>2018-03-01</x:v>
      </x:c>
      <x:c r="C188" s="1" t="n">
        <x:v>0</x:v>
      </x:c>
      <x:c r="D188" s="1" t="n">
        <x:v>6775</x:v>
      </x:c>
      <x:c r="E188" s="1" t="n">
        <x:v>6775</x:v>
      </x:c>
      <x:c r="F188" s="9" t="n">
        <x:v>1</x:v>
      </x:c>
    </x:row>
    <x:row r="189">
      <x:c r="A189" s="1" t="str">
        <x:v>2018-03-01</x:v>
      </x:c>
      <x:c r="B189" s="1" t="str">
        <x:v>2018-04-01</x:v>
      </x:c>
      <x:c r="C189" s="1" t="n">
        <x:v>1</x:v>
      </x:c>
      <x:c r="D189" s="1" t="n">
        <x:v>27</x:v>
      </x:c>
      <x:c r="E189" s="1" t="n">
        <x:v>6775</x:v>
      </x:c>
      <x:c r="F189" s="9" t="n">
        <x:v>0.003985239852398524</x:v>
      </x:c>
    </x:row>
    <x:row r="190">
      <x:c r="A190" s="1" t="str">
        <x:v>2018-03-01</x:v>
      </x:c>
      <x:c r="B190" s="1" t="str">
        <x:v>2018-05-01</x:v>
      </x:c>
      <x:c r="C190" s="1" t="n">
        <x:v>2</x:v>
      </x:c>
      <x:c r="D190" s="1" t="n">
        <x:v>20</x:v>
      </x:c>
      <x:c r="E190" s="1" t="n">
        <x:v>6775</x:v>
      </x:c>
      <x:c r="F190" s="9" t="n">
        <x:v>0.002952029520295203</x:v>
      </x:c>
    </x:row>
    <x:row r="191">
      <x:c r="A191" s="1" t="str">
        <x:v>2018-03-01</x:v>
      </x:c>
      <x:c r="B191" s="1" t="str">
        <x:v>2018-06-01</x:v>
      </x:c>
      <x:c r="C191" s="1" t="n">
        <x:v>3</x:v>
      </x:c>
      <x:c r="D191" s="1" t="n">
        <x:v>20</x:v>
      </x:c>
      <x:c r="E191" s="1" t="n">
        <x:v>6775</x:v>
      </x:c>
      <x:c r="F191" s="9" t="n">
        <x:v>0.002952029520295203</x:v>
      </x:c>
    </x:row>
    <x:row r="192">
      <x:c r="A192" s="1" t="str">
        <x:v>2018-03-01</x:v>
      </x:c>
      <x:c r="B192" s="1" t="str">
        <x:v>2018-07-01</x:v>
      </x:c>
      <x:c r="C192" s="1" t="n">
        <x:v>4</x:v>
      </x:c>
      <x:c r="D192" s="1" t="n">
        <x:v>8</x:v>
      </x:c>
      <x:c r="E192" s="1" t="n">
        <x:v>6775</x:v>
      </x:c>
      <x:c r="F192" s="9" t="n">
        <x:v>0.0011808118081180813</x:v>
      </x:c>
    </x:row>
    <x:row r="193">
      <x:c r="A193" s="1" t="str">
        <x:v>2018-03-01</x:v>
      </x:c>
      <x:c r="B193" s="1" t="str">
        <x:v>2018-08-01</x:v>
      </x:c>
      <x:c r="C193" s="1" t="n">
        <x:v>5</x:v>
      </x:c>
      <x:c r="D193" s="1" t="n">
        <x:v>8</x:v>
      </x:c>
      <x:c r="E193" s="1" t="n">
        <x:v>6775</x:v>
      </x:c>
      <x:c r="F193" s="9" t="n">
        <x:v>0.0011808118081180813</x:v>
      </x:c>
    </x:row>
    <x:row r="194">
      <x:c r="A194" s="1" t="str">
        <x:v>2018-04-01</x:v>
      </x:c>
      <x:c r="B194" s="1" t="str">
        <x:v>2018-04-01</x:v>
      </x:c>
      <x:c r="C194" s="1" t="n">
        <x:v>0</x:v>
      </x:c>
      <x:c r="D194" s="1" t="n">
        <x:v>6582</x:v>
      </x:c>
      <x:c r="E194" s="1" t="n">
        <x:v>6582</x:v>
      </x:c>
      <x:c r="F194" s="9" t="n">
        <x:v>1</x:v>
      </x:c>
    </x:row>
    <x:row r="195">
      <x:c r="A195" s="1" t="str">
        <x:v>2018-04-01</x:v>
      </x:c>
      <x:c r="B195" s="1" t="str">
        <x:v>2018-05-01</x:v>
      </x:c>
      <x:c r="C195" s="1" t="n">
        <x:v>1</x:v>
      </x:c>
      <x:c r="D195" s="1" t="n">
        <x:v>39</x:v>
      </x:c>
      <x:c r="E195" s="1" t="n">
        <x:v>6582</x:v>
      </x:c>
      <x:c r="F195" s="9" t="n">
        <x:v>0.005925250683682771</x:v>
      </x:c>
    </x:row>
    <x:row r="196">
      <x:c r="A196" s="1" t="str">
        <x:v>2018-04-01</x:v>
      </x:c>
      <x:c r="B196" s="1" t="str">
        <x:v>2018-06-01</x:v>
      </x:c>
      <x:c r="C196" s="1" t="n">
        <x:v>2</x:v>
      </x:c>
      <x:c r="D196" s="1" t="n">
        <x:v>20</x:v>
      </x:c>
      <x:c r="E196" s="1" t="n">
        <x:v>6582</x:v>
      </x:c>
      <x:c r="F196" s="9" t="n">
        <x:v>0.003038590094196293</x:v>
      </x:c>
    </x:row>
    <x:row r="197">
      <x:c r="A197" s="1" t="str">
        <x:v>2018-04-01</x:v>
      </x:c>
      <x:c r="B197" s="1" t="str">
        <x:v>2018-07-01</x:v>
      </x:c>
      <x:c r="C197" s="1" t="n">
        <x:v>3</x:v>
      </x:c>
      <x:c r="D197" s="1" t="n">
        <x:v>16</x:v>
      </x:c>
      <x:c r="E197" s="1" t="n">
        <x:v>6582</x:v>
      </x:c>
      <x:c r="F197" s="9" t="n">
        <x:v>0.002430872075357034</x:v>
      </x:c>
    </x:row>
    <x:row r="198">
      <x:c r="A198" s="1" t="str">
        <x:v>2018-04-01</x:v>
      </x:c>
      <x:c r="B198" s="1" t="str">
        <x:v>2018-08-01</x:v>
      </x:c>
      <x:c r="C198" s="1" t="n">
        <x:v>4</x:v>
      </x:c>
      <x:c r="D198" s="1" t="n">
        <x:v>9</x:v>
      </x:c>
      <x:c r="E198" s="1" t="n">
        <x:v>6582</x:v>
      </x:c>
      <x:c r="F198" s="9" t="n">
        <x:v>0.0013673655423883319</x:v>
      </x:c>
    </x:row>
    <x:row r="199">
      <x:c r="A199" s="1" t="str">
        <x:v>2018-05-01</x:v>
      </x:c>
      <x:c r="B199" s="1" t="str">
        <x:v>2018-05-01</x:v>
      </x:c>
      <x:c r="C199" s="1" t="n">
        <x:v>0</x:v>
      </x:c>
      <x:c r="D199" s="1" t="n">
        <x:v>6508</x:v>
      </x:c>
      <x:c r="E199" s="1" t="n">
        <x:v>6508</x:v>
      </x:c>
      <x:c r="F199" s="9" t="n">
        <x:v>1</x:v>
      </x:c>
    </x:row>
    <x:row r="200">
      <x:c r="A200" s="1" t="str">
        <x:v>2018-05-01</x:v>
      </x:c>
      <x:c r="B200" s="1" t="str">
        <x:v>2018-06-01</x:v>
      </x:c>
      <x:c r="C200" s="1" t="n">
        <x:v>1</x:v>
      </x:c>
      <x:c r="D200" s="1" t="n">
        <x:v>34</x:v>
      </x:c>
      <x:c r="E200" s="1" t="n">
        <x:v>6508</x:v>
      </x:c>
      <x:c r="F200" s="9" t="n">
        <x:v>0.005224339274738783</x:v>
      </x:c>
    </x:row>
    <x:row r="201">
      <x:c r="A201" s="1" t="str">
        <x:v>2018-05-01</x:v>
      </x:c>
      <x:c r="B201" s="1" t="str">
        <x:v>2018-07-01</x:v>
      </x:c>
      <x:c r="C201" s="1" t="n">
        <x:v>2</x:v>
      </x:c>
      <x:c r="D201" s="1" t="n">
        <x:v>17</x:v>
      </x:c>
      <x:c r="E201" s="1" t="n">
        <x:v>6508</x:v>
      </x:c>
      <x:c r="F201" s="9" t="n">
        <x:v>0.0026121696373693913</x:v>
      </x:c>
    </x:row>
    <x:row r="202">
      <x:c r="A202" s="1" t="str">
        <x:v>2018-05-01</x:v>
      </x:c>
      <x:c r="B202" s="1" t="str">
        <x:v>2018-08-01</x:v>
      </x:c>
      <x:c r="C202" s="1" t="n">
        <x:v>3</x:v>
      </x:c>
      <x:c r="D202" s="1" t="n">
        <x:v>12</x:v>
      </x:c>
      <x:c r="E202" s="1" t="n">
        <x:v>6508</x:v>
      </x:c>
      <x:c r="F202" s="9" t="n">
        <x:v>0.0018438844499078057</x:v>
      </x:c>
    </x:row>
    <x:row r="203">
      <x:c r="A203" s="1" t="str">
        <x:v>2018-06-01</x:v>
      </x:c>
      <x:c r="B203" s="1" t="str">
        <x:v>2018-06-01</x:v>
      </x:c>
      <x:c r="C203" s="1" t="n">
        <x:v>0</x:v>
      </x:c>
      <x:c r="D203" s="1" t="n">
        <x:v>5879</x:v>
      </x:c>
      <x:c r="E203" s="1" t="n">
        <x:v>5879</x:v>
      </x:c>
      <x:c r="F203" s="9" t="n">
        <x:v>1</x:v>
      </x:c>
    </x:row>
    <x:row r="204">
      <x:c r="A204" s="1" t="str">
        <x:v>2018-06-01</x:v>
      </x:c>
      <x:c r="B204" s="1" t="str">
        <x:v>2018-07-01</x:v>
      </x:c>
      <x:c r="C204" s="1" t="n">
        <x:v>1</x:v>
      </x:c>
      <x:c r="D204" s="1" t="n">
        <x:v>25</x:v>
      </x:c>
      <x:c r="E204" s="1" t="n">
        <x:v>5879</x:v>
      </x:c>
      <x:c r="F204" s="9" t="n">
        <x:v>0.004252423881612519</x:v>
      </x:c>
    </x:row>
    <x:row r="205">
      <x:c r="A205" s="1" t="str">
        <x:v>2018-06-01</x:v>
      </x:c>
      <x:c r="B205" s="1" t="str">
        <x:v>2018-08-01</x:v>
      </x:c>
      <x:c r="C205" s="1" t="n">
        <x:v>2</x:v>
      </x:c>
      <x:c r="D205" s="1" t="n">
        <x:v>16</x:v>
      </x:c>
      <x:c r="E205" s="1" t="n">
        <x:v>5879</x:v>
      </x:c>
      <x:c r="F205" s="9" t="n">
        <x:v>0.002721551284232012</x:v>
      </x:c>
    </x:row>
    <x:row r="206">
      <x:c r="A206" s="1" t="str">
        <x:v>2018-07-01</x:v>
      </x:c>
      <x:c r="B206" s="1" t="str">
        <x:v>2018-07-01</x:v>
      </x:c>
      <x:c r="C206" s="1" t="n">
        <x:v>0</x:v>
      </x:c>
      <x:c r="D206" s="1" t="n">
        <x:v>5949</x:v>
      </x:c>
      <x:c r="E206" s="1" t="n">
        <x:v>5949</x:v>
      </x:c>
      <x:c r="F206" s="9" t="n">
        <x:v>1</x:v>
      </x:c>
    </x:row>
    <x:row r="207">
      <x:c r="A207" s="1" t="str">
        <x:v>2018-07-01</x:v>
      </x:c>
      <x:c r="B207" s="1" t="str">
        <x:v>2018-08-01</x:v>
      </x:c>
      <x:c r="C207" s="1" t="n">
        <x:v>1</x:v>
      </x:c>
      <x:c r="D207" s="1" t="n">
        <x:v>31</x:v>
      </x:c>
      <x:c r="E207" s="1" t="n">
        <x:v>5949</x:v>
      </x:c>
      <x:c r="F207" s="9" t="n">
        <x:v>0.005210959825180703</x:v>
      </x:c>
    </x:row>
    <x:row r="208">
      <x:c r="A208" s="1" t="str">
        <x:v>2018-08-01</x:v>
      </x:c>
      <x:c r="B208" s="1" t="str">
        <x:v>2018-08-01</x:v>
      </x:c>
      <x:c r="C208" s="1" t="n">
        <x:v>0</x:v>
      </x:c>
      <x:c r="D208" s="1" t="n">
        <x:v>6144</x:v>
      </x:c>
      <x:c r="E208" s="1" t="n">
        <x:v>6144</x:v>
      </x:c>
      <x:c r="F208" s="9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a5785f3668c841d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5" hidden="0" customWidth="1"/>
    <x:col min="2" max="2" width="4.880000114440918" hidden="0" customWidth="1"/>
    <x:col min="3" max="3" width="11.25" hidden="0" customWidth="1"/>
    <x:col min="4" max="4" width="11.880000114440918" hidden="0" customWidth="1"/>
    <x:col min="5" max="5" width="9.380000114440918" hidden="0" customWidth="1"/>
  </x:cols>
  <x:sheetData>
    <x:row r="1" ht="34" customHeight="1">
      <x:c r="A1" s="5" t="str">
        <x:v>﻿delivery_band</x:v>
      </x:c>
      <x:c r="B1" s="5" t="str">
        <x:v>orders</x:v>
      </x:c>
      <x:c r="C1" s="5" t="str">
        <x:v>average_review</x:v>
      </x:c>
      <x:c r="D1" s="5" t="str">
        <x:v>low_review_rate</x:v>
      </x:c>
      <x:c r="E1" s="5" t="str">
        <x:v>gmv</x:v>
      </x:c>
    </x:row>
    <x:row r="2">
      <x:c r="A2" s="1" t="str">
        <x:v>3+ dias antes do prazo</x:v>
      </x:c>
      <x:c r="B2" s="1" t="n">
        <x:v>83901</x:v>
      </x:c>
      <x:c r="C2" s="8" t="n">
        <x:v>4.303364087325361</x:v>
      </x:c>
      <x:c r="D2" s="9" t="n">
        <x:v>0.09074025258213712</x:v>
      </x:c>
      <x:c r="E2" s="6" t="n">
        <x:v>13376677.86</x:v>
      </x:c>
    </x:row>
    <x:row r="3">
      <x:c r="A3" s="1" t="str">
        <x:v>No prazo (até 2 dias antes)</x:v>
      </x:c>
      <x:c r="B3" s="1" t="n">
        <x:v>4743</x:v>
      </x:c>
      <x:c r="C3" s="8" t="n">
        <x:v>4.13336875664187</x:v>
      </x:c>
      <x:c r="D3" s="9" t="n">
        <x:v>0.11200850159404889</x:v>
      </x:c>
      <x:c r="E3" s="6" t="n">
        <x:v>690092.01</x:v>
      </x:c>
    </x:row>
    <x:row r="4">
      <x:c r="A4" s="1" t="str">
        <x:v>1–3 dias de atraso</x:v>
      </x:c>
      <x:c r="B4" s="1" t="n">
        <x:v>2662</x:v>
      </x:c>
      <x:c r="C4" s="8" t="n">
        <x:v>3.7668816388467374</x:v>
      </x:c>
      <x:c r="D4" s="9" t="n">
        <x:v>0.19081942336874053</x:v>
      </x:c>
      <x:c r="E4" s="6" t="n">
        <x:v>419082.91</x:v>
      </x:c>
    </x:row>
    <x:row r="5">
      <x:c r="A5" s="1" t="str">
        <x:v>4–7 dias de atraso</x:v>
      </x:c>
      <x:c r="B5" s="1" t="n">
        <x:v>1819</x:v>
      </x:c>
      <x:c r="C5" s="8" t="n">
        <x:v>2.317258883248731</x:v>
      </x:c>
      <x:c r="D5" s="9" t="n">
        <x:v>0.6125211505922166</x:v>
      </x:c>
      <x:c r="E5" s="6" t="n">
        <x:v>324954.23</x:v>
      </x:c>
    </x:row>
    <x:row r="6">
      <x:c r="A6" s="1" t="str">
        <x:v>8+ dias de atraso</x:v>
      </x:c>
      <x:c r="B6" s="1" t="n">
        <x:v>3345</x:v>
      </x:c>
      <x:c r="C6" s="8" t="n">
        <x:v>1.7293972939729396</x:v>
      </x:c>
      <x:c r="D6" s="9" t="n">
        <x:v>0.783210332103321</x:v>
      </x:c>
      <x:c r="E6" s="6" t="n">
        <x:v>607587.82</x:v>
      </x:c>
    </x:row>
  </x:sheetData>
  <x:pageMargins left="0.7" right="0.7" top="0.75" bottom="0.75" header="0.3" footer="0.3"/>
  <x:tableParts count="1">
    <x:tablePart xmlns:r="http://schemas.openxmlformats.org/officeDocument/2006/relationships" r:id="Re79ea2ed9c614b9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30000114440918" hidden="0" customWidth="1"/>
    <x:col min="2" max="2" width="4.880000114440918" hidden="0" customWidth="1"/>
    <x:col min="3" max="3" width="7.630000114440918" hidden="0" customWidth="1"/>
    <x:col min="4" max="4" width="8.630000114440918" hidden="0" customWidth="1"/>
    <x:col min="5" max="5" width="14.880000114440918" hidden="0" customWidth="1"/>
    <x:col min="6" max="6" width="9.75" hidden="0" customWidth="1"/>
    <x:col min="7" max="7" width="15.880000114440918" hidden="0" customWidth="1"/>
    <x:col min="8" max="8" width="11.25" hidden="0" customWidth="1"/>
  </x:cols>
  <x:sheetData>
    <x:row r="1" ht="34" customHeight="1">
      <x:c r="A1" s="5" t="str">
        <x:v>﻿customer_state</x:v>
      </x:c>
      <x:c r="B1" s="5" t="str">
        <x:v>orders</x:v>
      </x:c>
      <x:c r="C1" s="5" t="str">
        <x:v>customers</x:v>
      </x:c>
      <x:c r="D1" s="5" t="str">
        <x:v>gmv</x:v>
      </x:c>
      <x:c r="E1" s="5" t="str">
        <x:v>average_order_value</x:v>
      </x:c>
      <x:c r="F1" s="5" t="str">
        <x:v>on_time_rate</x:v>
      </x:c>
      <x:c r="G1" s="5" t="str">
        <x:v>average_delivery_days</x:v>
      </x:c>
      <x:c r="H1" s="5" t="str">
        <x:v>average_review</x:v>
      </x:c>
    </x:row>
    <x:row r="2">
      <x:c r="A2" s="1" t="str">
        <x:v>SP</x:v>
      </x:c>
      <x:c r="B2" s="1" t="n">
        <x:v>40406</x:v>
      </x:c>
      <x:c r="C2" s="1" t="n">
        <x:v>39065</x:v>
      </x:c>
      <x:c r="D2" s="6" t="n">
        <x:v>5755999.76</x:v>
      </x:c>
      <x:c r="E2" s="7" t="n">
        <x:v>142.4540850368757</x:v>
      </x:c>
      <x:c r="F2" s="9" t="n">
        <x:v>0.940988638332632</x:v>
      </x:c>
      <x:c r="G2" s="8" t="n">
        <x:v>8.737594713221725</x:v>
      </x:c>
      <x:c r="H2" s="8" t="n">
        <x:v>4.247307730598835</x:v>
      </x:c>
    </x:row>
    <x:row r="3">
      <x:c r="A3" s="1" t="str">
        <x:v>RJ</x:v>
      </x:c>
      <x:c r="B3" s="1" t="n">
        <x:v>12310</x:v>
      </x:c>
      <x:c r="C3" s="1" t="n">
        <x:v>11879</x:v>
      </x:c>
      <x:c r="D3" s="6" t="n">
        <x:v>2046357.64</x:v>
      </x:c>
      <x:c r="E3" s="7" t="n">
        <x:v>166.23538911454102</x:v>
      </x:c>
      <x:c r="F3" s="9" t="n">
        <x:v>0.864825345247766</x:v>
      </x:c>
      <x:c r="G3" s="8" t="n">
        <x:v>15.296848779221952</x:v>
      </x:c>
      <x:c r="H3" s="8" t="n">
        <x:v>3.965193066053237</x:v>
      </x:c>
    </x:row>
    <x:row r="4">
      <x:c r="A4" s="1" t="str">
        <x:v>MG</x:v>
      </x:c>
      <x:c r="B4" s="1" t="n">
        <x:v>11319</x:v>
      </x:c>
      <x:c r="C4" s="1" t="n">
        <x:v>10969</x:v>
      </x:c>
      <x:c r="D4" s="6" t="n">
        <x:v>1813954.27</x:v>
      </x:c>
      <x:c r="E4" s="7" t="n">
        <x:v>160.2574670907324</x:v>
      </x:c>
      <x:c r="F4" s="9" t="n">
        <x:v>0.9437229437229437</x:v>
      </x:c>
      <x:c r="G4" s="8" t="n">
        <x:v>11.984529103187691</x:v>
      </x:c>
      <x:c r="H4" s="8" t="n">
        <x:v>4.193760554617367</x:v>
      </x:c>
    </x:row>
    <x:row r="5">
      <x:c r="A5" s="1" t="str">
        <x:v>RS</x:v>
      </x:c>
      <x:c r="B5" s="1" t="n">
        <x:v>5328</x:v>
      </x:c>
      <x:c r="C5" s="1" t="n">
        <x:v>5151</x:v>
      </x:c>
      <x:c r="D5" s="6" t="n">
        <x:v>858574.68</x:v>
      </x:c>
      <x:c r="E5" s="7" t="n">
        <x:v>161.1438963963964</x:v>
      </x:c>
      <x:c r="F5" s="9" t="n">
        <x:v>0.9282898441899756</x:v>
      </x:c>
      <x:c r="G5" s="8" t="n">
        <x:v>15.288672499113531</x:v>
      </x:c>
      <x:c r="H5" s="8" t="n">
        <x:v>4.186158192090396</x:v>
      </x:c>
    </x:row>
    <x:row r="6">
      <x:c r="A6" s="1" t="str">
        <x:v>PR</x:v>
      </x:c>
      <x:c r="B6" s="1" t="n">
        <x:v>4903</x:v>
      </x:c>
      <x:c r="C6" s="1" t="n">
        <x:v>4750</x:v>
      </x:c>
      <x:c r="D6" s="6" t="n">
        <x:v>779214.08</x:v>
      </x:c>
      <x:c r="E6" s="7" t="n">
        <x:v>158.9259800122374</x:v>
      </x:c>
      <x:c r="F6" s="9" t="n">
        <x:v>0.9498266367530084</x:v>
      </x:c>
      <x:c r="G6" s="8" t="n">
        <x:v>11.973149226947221</x:v>
      </x:c>
      <x:c r="H6" s="8" t="n">
        <x:v>4.24077868852459</x:v>
      </x:c>
    </x:row>
    <x:row r="7">
      <x:c r="A7" s="1" t="str">
        <x:v>SC</x:v>
      </x:c>
      <x:c r="B7" s="1" t="n">
        <x:v>3537</x:v>
      </x:c>
      <x:c r="C7" s="1" t="n">
        <x:v>3441</x:v>
      </x:c>
      <x:c r="D7" s="6" t="n">
        <x:v>592627.06</x:v>
      </x:c>
      <x:c r="E7" s="7" t="n">
        <x:v>167.55076618603337</x:v>
      </x:c>
      <x:c r="F7" s="9" t="n">
        <x:v>0.9021769861464518</x:v>
      </x:c>
      <x:c r="G7" s="8" t="n">
        <x:v>14.946139979214442</x:v>
      </x:c>
      <x:c r="H7" s="8" t="n">
        <x:v>4.133903133903134</x:v>
      </x:c>
    </x:row>
    <x:row r="8">
      <x:c r="A8" s="1" t="str">
        <x:v>BA</x:v>
      </x:c>
      <x:c r="B8" s="1" t="n">
        <x:v>3253</x:v>
      </x:c>
      <x:c r="C8" s="1" t="n">
        <x:v>3155</x:v>
      </x:c>
      <x:c r="D8" s="6" t="n">
        <x:v>590816.8</x:v>
      </x:c>
      <x:c r="E8" s="7" t="n">
        <x:v>181.62213341530895</x:v>
      </x:c>
      <x:c r="F8" s="9" t="n">
        <x:v>0.859514294497387</x:v>
      </x:c>
      <x:c r="G8" s="8" t="n">
        <x:v>19.33413364159579</x:v>
      </x:c>
      <x:c r="H8" s="8" t="n">
        <x:v>3.9296342219466833</x:v>
      </x:c>
    </x:row>
    <x:row r="9">
      <x:c r="A9" s="1" t="str">
        <x:v>DF</x:v>
      </x:c>
      <x:c r="B9" s="1" t="n">
        <x:v>2074</x:v>
      </x:c>
      <x:c r="C9" s="1" t="n">
        <x:v>2013</x:v>
      </x:c>
      <x:c r="D9" s="6" t="n">
        <x:v>344923.24</x:v>
      </x:c>
      <x:c r="E9" s="7" t="n">
        <x:v>166.30821600771455</x:v>
      </x:c>
      <x:c r="F9" s="9" t="n">
        <x:v>0.929122468659595</x:v>
      </x:c>
      <x:c r="G9" s="8" t="n">
        <x:v>12.93857173470481</x:v>
      </x:c>
      <x:c r="H9" s="8" t="n">
        <x:v>4.136627906976744</x:v>
      </x:c>
    </x:row>
    <x:row r="10">
      <x:c r="A10" s="1" t="str">
        <x:v>GO</x:v>
      </x:c>
      <x:c r="B10" s="1" t="n">
        <x:v>1950</x:v>
      </x:c>
      <x:c r="C10" s="1" t="n">
        <x:v>1889</x:v>
      </x:c>
      <x:c r="D10" s="6" t="n">
        <x:v>333156.23</x:v>
      </x:c>
      <x:c r="E10" s="7" t="n">
        <x:v>170.84934871794871</x:v>
      </x:c>
      <x:c r="F10" s="9" t="n">
        <x:v>0.9179487179487179</x:v>
      </x:c>
      <x:c r="G10" s="8" t="n">
        <x:v>15.611612434710352</x:v>
      </x:c>
      <x:c r="H10" s="8" t="n">
        <x:v>4.102114492006189</x:v>
      </x:c>
    </x:row>
    <x:row r="11">
      <x:c r="A11" s="1" t="str">
        <x:v>ES</x:v>
      </x:c>
      <x:c r="B11" s="1" t="n">
        <x:v>1992</x:v>
      </x:c>
      <x:c r="C11" s="1" t="n">
        <x:v>1925</x:v>
      </x:c>
      <x:c r="D11" s="6" t="n">
        <x:v>316666.12</x:v>
      </x:c>
      <x:c r="E11" s="7" t="n">
        <x:v>158.9689357429719</x:v>
      </x:c>
      <x:c r="F11" s="9" t="n">
        <x:v>0.8775100401606426</x:v>
      </x:c>
      <x:c r="G11" s="8" t="n">
        <x:v>15.775735616075412</x:v>
      </x:c>
      <x:c r="H11" s="8" t="n">
        <x:v>4.079857578840285</x:v>
      </x:c>
    </x:row>
    <x:row r="12">
      <x:c r="A12" s="1" t="str">
        <x:v>PE</x:v>
      </x:c>
      <x:c r="B12" s="1" t="n">
        <x:v>1587</x:v>
      </x:c>
      <x:c r="C12" s="1" t="n">
        <x:v>1545</x:v>
      </x:c>
      <x:c r="D12" s="6" t="n">
        <x:v>307428.1</x:v>
      </x:c>
      <x:c r="E12" s="7" t="n">
        <x:v>193.716509136736</x:v>
      </x:c>
      <x:c r="F12" s="9" t="n">
        <x:v>0.8916194076874606</x:v>
      </x:c>
      <x:c r="G12" s="8" t="n">
        <x:v>18.449876623433454</x:v>
      </x:c>
      <x:c r="H12" s="8" t="n">
        <x:v>4.0820089001907185</x:v>
      </x:c>
    </x:row>
    <x:row r="13">
      <x:c r="A13" s="1" t="str">
        <x:v>CE</x:v>
      </x:c>
      <x:c r="B13" s="1" t="n">
        <x:v>1273</x:v>
      </x:c>
      <x:c r="C13" s="1" t="n">
        <x:v>1252</x:v>
      </x:c>
      <x:c r="D13" s="6" t="n">
        <x:v>264551.39</x:v>
      </x:c>
      <x:c r="E13" s="7" t="n">
        <x:v>207.8172741555381</x:v>
      </x:c>
      <x:c r="F13" s="9" t="n">
        <x:v>0.8460329929300864</x:v>
      </x:c>
      <x:c r="G13" s="8" t="n">
        <x:v>21.238458447892118</x:v>
      </x:c>
      <x:c r="H13" s="8" t="n">
        <x:v>3.9376479873717445</x:v>
      </x:c>
    </x:row>
    <x:row r="14">
      <x:c r="A14" s="1" t="str">
        <x:v>PA</x:v>
      </x:c>
      <x:c r="B14" s="1" t="n">
        <x:v>942</x:v>
      </x:c>
      <x:c r="C14" s="1" t="n">
        <x:v>918</x:v>
      </x:c>
      <x:c r="D14" s="6" t="n">
        <x:v>210740.48</x:v>
      </x:c>
      <x:c r="E14" s="7" t="n">
        <x:v>223.716008492569</x:v>
      </x:c>
      <x:c r="F14" s="9" t="n">
        <x:v>0.8757961783439491</x:v>
      </x:c>
      <x:c r="G14" s="8" t="n">
        <x:v>23.757092044605645</x:v>
      </x:c>
      <x:c r="H14" s="8" t="n">
        <x:v>3.908503767491927</x:v>
      </x:c>
    </x:row>
    <x:row r="15">
      <x:c r="A15" s="1" t="str">
        <x:v>MT</x:v>
      </x:c>
      <x:c r="B15" s="1" t="n">
        <x:v>885</x:v>
      </x:c>
      <x:c r="C15" s="1" t="n">
        <x:v>855</x:v>
      </x:c>
      <x:c r="D15" s="6" t="n">
        <x:v>181122.98</x:v>
      </x:c>
      <x:c r="E15" s="7" t="n">
        <x:v>204.65873446327683</x:v>
      </x:c>
      <x:c r="F15" s="9" t="n">
        <x:v>0.9322033898305084</x:v>
      </x:c>
      <x:c r="G15" s="8" t="n">
        <x:v>18.06822088826114</x:v>
      </x:c>
      <x:c r="H15" s="8" t="n">
        <x:v>4.145216400911162</x:v>
      </x:c>
    </x:row>
    <x:row r="16">
      <x:c r="A16" s="1" t="str">
        <x:v>MA</x:v>
      </x:c>
      <x:c r="B16" s="1" t="n">
        <x:v>713</x:v>
      </x:c>
      <x:c r="C16" s="1" t="n">
        <x:v>696</x:v>
      </x:c>
      <x:c r="D16" s="6" t="n">
        <x:v>146804.7</x:v>
      </x:c>
      <x:c r="E16" s="7" t="n">
        <x:v>205.89719495091165</x:v>
      </x:c>
      <x:c r="F16" s="9" t="n">
        <x:v>0.8036465638148668</x:v>
      </x:c>
      <x:c r="G16" s="8" t="n">
        <x:v>21.535556513298012</x:v>
      </x:c>
      <x:c r="H16" s="8" t="n">
        <x:v>3.830042313117066</x:v>
      </x:c>
    </x:row>
    <x:row r="17">
      <x:c r="A17" s="1" t="str">
        <x:v>PB</x:v>
      </x:c>
      <x:c r="B17" s="1" t="n">
        <x:v>516</x:v>
      </x:c>
      <x:c r="C17" s="1" t="n">
        <x:v>503</x:v>
      </x:c>
      <x:c r="D17" s="6" t="n">
        <x:v>137763.81</x:v>
      </x:c>
      <x:c r="E17" s="7" t="n">
        <x:v>266.98412790697677</x:v>
      </x:c>
      <x:c r="F17" s="9" t="n">
        <x:v>0.8895348837209303</x:v>
      </x:c>
      <x:c r="G17" s="8" t="n">
        <x:v>20.393254602713178</x:v>
      </x:c>
      <x:c r="H17" s="8" t="n">
        <x:v>4.074363992172211</x:v>
      </x:c>
    </x:row>
    <x:row r="18">
      <x:c r="A18" s="1" t="str">
        <x:v>MS</x:v>
      </x:c>
      <x:c r="B18" s="1" t="n">
        <x:v>701</x:v>
      </x:c>
      <x:c r="C18" s="1" t="n">
        <x:v>681</x:v>
      </x:c>
      <x:c r="D18" s="6" t="n">
        <x:v>134367.55</x:v>
      </x:c>
      <x:c r="E18" s="7" t="n">
        <x:v>191.67981455064194</x:v>
      </x:c>
      <x:c r="F18" s="9" t="n">
        <x:v>0.884450784593438</x:v>
      </x:c>
      <x:c r="G18" s="8" t="n">
        <x:v>15.618319018465684</x:v>
      </x:c>
      <x:c r="H18" s="8" t="n">
        <x:v>4.160228898426324</x:v>
      </x:c>
    </x:row>
    <x:row r="19">
      <x:c r="A19" s="1" t="str">
        <x:v>PI</x:v>
      </x:c>
      <x:c r="B19" s="1" t="n">
        <x:v>475</x:v>
      </x:c>
      <x:c r="C19" s="1" t="n">
        <x:v>463</x:v>
      </x:c>
      <x:c r="D19" s="6" t="n">
        <x:v>104932.1</x:v>
      </x:c>
      <x:c r="E19" s="7" t="n">
        <x:v>220.9096842105263</x:v>
      </x:c>
      <x:c r="F19" s="9" t="n">
        <x:v>0.84</x:v>
      </x:c>
      <x:c r="G19" s="8" t="n">
        <x:v>19.440831554580896</x:v>
      </x:c>
      <x:c r="H19" s="8" t="n">
        <x:v>3.9936170212765956</x:v>
      </x:c>
    </x:row>
    <x:row r="20">
      <x:c r="A20" s="1" t="str">
        <x:v>RN</x:v>
      </x:c>
      <x:c r="B20" s="1" t="n">
        <x:v>470</x:v>
      </x:c>
      <x:c r="C20" s="1" t="n">
        <x:v>460</x:v>
      </x:c>
      <x:c r="D20" s="6" t="n">
        <x:v>99833.44</x:v>
      </x:c>
      <x:c r="E20" s="7" t="n">
        <x:v>212.4115744680851</x:v>
      </x:c>
      <x:c r="F20" s="9" t="n">
        <x:v>0.8914893617021277</x:v>
      </x:c>
      <x:c r="G20" s="8" t="n">
        <x:v>19.21091440110323</x:v>
      </x:c>
      <x:c r="H20" s="8" t="n">
        <x:v>4.142398286937902</x:v>
      </x:c>
    </x:row>
    <x:row r="21">
      <x:c r="A21" s="1" t="str">
        <x:v>AL</x:v>
      </x:c>
      <x:c r="B21" s="1" t="n">
        <x:v>396</x:v>
      </x:c>
      <x:c r="C21" s="1" t="n">
        <x:v>386</x:v>
      </x:c>
      <x:c r="D21" s="6" t="n">
        <x:v>94095.89</x:v>
      </x:c>
      <x:c r="E21" s="7" t="n">
        <x:v>237.61588383838384</x:v>
      </x:c>
      <x:c r="F21" s="9" t="n">
        <x:v>0.76010101010101</x:v>
      </x:c>
      <x:c r="G21" s="8" t="n">
        <x:v>24.522339015151516</x:v>
      </x:c>
      <x:c r="H21" s="8" t="n">
        <x:v>3.8524173027989823</x:v>
      </x:c>
    </x:row>
    <x:row r="22">
      <x:c r="A22" s="1" t="str">
        <x:v>SE</x:v>
      </x:c>
      <x:c r="B22" s="1" t="n">
        <x:v>332</x:v>
      </x:c>
      <x:c r="C22" s="1" t="n">
        <x:v>326</x:v>
      </x:c>
      <x:c r="D22" s="6" t="n">
        <x:v>69943.21</x:v>
      </x:c>
      <x:c r="E22" s="7" t="n">
        <x:v>210.67231927710844</x:v>
      </x:c>
      <x:c r="F22" s="9" t="n">
        <x:v>0.8463855421686747</x:v>
      </x:c>
      <x:c r="G22" s="8" t="n">
        <x:v>21.438612226684516</x:v>
      </x:c>
      <x:c r="H22" s="8" t="n">
        <x:v>3.900302114803625</x:v>
      </x:c>
    </x:row>
    <x:row r="23">
      <x:c r="A23" s="1" t="str">
        <x:v>TO</x:v>
      </x:c>
      <x:c r="B23" s="1" t="n">
        <x:v>274</x:v>
      </x:c>
      <x:c r="C23" s="1" t="n">
        <x:v>267</x:v>
      </x:c>
      <x:c r="D23" s="6" t="n">
        <x:v>60007.37</x:v>
      </x:c>
      <x:c r="E23" s="7" t="n">
        <x:v>219.005</x:v>
      </x:c>
      <x:c r="F23" s="9" t="n">
        <x:v>0.8722627737226277</x:v>
      </x:c>
      <x:c r="G23" s="8" t="n">
        <x:v>17.65806260982698</x:v>
      </x:c>
      <x:c r="H23" s="8" t="n">
        <x:v>4.153846153846154</x:v>
      </x:c>
    </x:row>
    <x:row r="24">
      <x:c r="A24" s="1" t="str">
        <x:v>RO</x:v>
      </x:c>
      <x:c r="B24" s="1" t="n">
        <x:v>243</x:v>
      </x:c>
      <x:c r="C24" s="1" t="n">
        <x:v>231</x:v>
      </x:c>
      <x:c r="D24" s="6" t="n">
        <x:v>56966</x:v>
      </x:c>
      <x:c r="E24" s="7" t="n">
        <x:v>234.42798353909464</x:v>
      </x:c>
      <x:c r="F24" s="9" t="n">
        <x:v>0.9711934156378601</x:v>
      </x:c>
      <x:c r="G24" s="8" t="n">
        <x:v>19.37203651310776</x:v>
      </x:c>
      <x:c r="H24" s="8" t="n">
        <x:v>4.1652892561983474</x:v>
      </x:c>
    </x:row>
    <x:row r="25">
      <x:c r="A25" s="1" t="str">
        <x:v>AM</x:v>
      </x:c>
      <x:c r="B25" s="1" t="n">
        <x:v>145</x:v>
      </x:c>
      <x:c r="C25" s="1" t="n">
        <x:v>140</x:v>
      </x:c>
      <x:c r="D25" s="6" t="n">
        <x:v>27585.47</x:v>
      </x:c>
      <x:c r="E25" s="7" t="n">
        <x:v>190.24462068965516</x:v>
      </x:c>
      <x:c r="F25" s="9" t="n">
        <x:v>0.9586206896551724</x:v>
      </x:c>
      <x:c r="G25" s="8" t="n">
        <x:v>26.42599090038314</x:v>
      </x:c>
      <x:c r="H25" s="8" t="n">
        <x:v>4.243055555555555</x:v>
      </x:c>
    </x:row>
    <x:row r="26">
      <x:c r="A26" s="1" t="str">
        <x:v>AC</x:v>
      </x:c>
      <x:c r="B26" s="1" t="n">
        <x:v>80</x:v>
      </x:c>
      <x:c r="C26" s="1" t="n">
        <x:v>76</x:v>
      </x:c>
      <x:c r="D26" s="6" t="n">
        <x:v>19575.33</x:v>
      </x:c>
      <x:c r="E26" s="7" t="n">
        <x:v>244.691625</x:v>
      </x:c>
      <x:c r="F26" s="9" t="n">
        <x:v>0.9625</x:v>
      </x:c>
      <x:c r="G26" s="8" t="n">
        <x:v>21.035712962962965</x:v>
      </x:c>
      <x:c r="H26" s="8" t="n">
        <x:v>4.0875</x:v>
      </x:c>
    </x:row>
    <x:row r="27">
      <x:c r="A27" s="1" t="str">
        <x:v>AP</x:v>
      </x:c>
      <x:c r="B27" s="1" t="n">
        <x:v>67</x:v>
      </x:c>
      <x:c r="C27" s="1" t="n">
        <x:v>66</x:v>
      </x:c>
      <x:c r="D27" s="6" t="n">
        <x:v>16141.81</x:v>
      </x:c>
      <x:c r="E27" s="7" t="n">
        <x:v>240.92253731343283</x:v>
      </x:c>
      <x:c r="F27" s="9" t="n">
        <x:v>0.9552238805970149</x:v>
      </x:c>
      <x:c r="G27" s="8" t="n">
        <x:v>27.185067716970703</x:v>
      </x:c>
      <x:c r="H27" s="8" t="n">
        <x:v>4.242424242424242</x:v>
      </x:c>
    </x:row>
    <x:row r="28">
      <x:c r="A28" s="1" t="str">
        <x:v>RR</x:v>
      </x:c>
      <x:c r="B28" s="1" t="n">
        <x:v>40</x:v>
      </x:c>
      <x:c r="C28" s="1" t="n">
        <x:v>39</x:v>
      </x:c>
      <x:c r="D28" s="6" t="n">
        <x:v>8970.5</x:v>
      </x:c>
      <x:c r="E28" s="7" t="n">
        <x:v>224.2625</x:v>
      </x:c>
      <x:c r="F28" s="9" t="n">
        <x:v>0.875</x:v>
      </x:c>
      <x:c r="G28" s="8" t="n">
        <x:v>29.90765798611111</x:v>
      </x:c>
      <x:c r="H28" s="8" t="n">
        <x:v>3.9</x:v>
      </x:c>
    </x:row>
  </x:sheetData>
  <x:pageMargins left="0.7" right="0.7" top="0.75" bottom="0.75" header="0.3" footer="0.3"/>
  <x:tableParts count="1">
    <x:tablePart xmlns:r="http://schemas.openxmlformats.org/officeDocument/2006/relationships" r:id="R0d26a3c2b6ff452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4" hidden="0" customWidth="1"/>
    <x:col min="4" max="4" width="30" hidden="0" customWidth="1"/>
    <x:col min="5" max="5" width="20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14" t="str">
        <x:v>Plano CRM | Teste de segunda compra</x:v>
      </x:c>
      <x:c r="B1" s="14" t="str">
        <x:v>Plano CRM | Teste de segunda compra</x:v>
      </x:c>
      <x:c r="C1" s="14" t="str">
        <x:v>Plano CRM | Teste de segunda compra</x:v>
      </x:c>
      <x:c r="D1" s="14" t="str">
        <x:v>Plano CRM | Teste de segunda compra</x:v>
      </x:c>
      <x:c r="E1" s="14" t="str">
        <x:v>Plano CRM | Teste de segunda compra</x:v>
      </x:c>
      <x:c r="F1" s="14" t="str">
        <x:v>Plano CRM | Teste de segunda compra</x:v>
      </x:c>
      <x:c r="G1" s="14" t="str">
        <x:v>Plano CRM | Teste de segunda compra</x:v>
      </x:c>
      <x:c r="H1" s="14" t="str">
        <x:v>Plano CRM | Teste de segunda compra</x:v>
      </x:c>
    </x:row>
    <x:row r="2">
      <x:c r="A2" s="14" t="str">
        <x:v>Plano CRM | Teste de segunda compra</x:v>
      </x:c>
      <x:c r="B2" s="14" t="str">
        <x:v>Plano CRM | Teste de segunda compra</x:v>
      </x:c>
      <x:c r="C2" s="14" t="str">
        <x:v>Plano CRM | Teste de segunda compra</x:v>
      </x:c>
      <x:c r="D2" s="14" t="str">
        <x:v>Plano CRM | Teste de segunda compra</x:v>
      </x:c>
      <x:c r="E2" s="14" t="str">
        <x:v>Plano CRM | Teste de segunda compra</x:v>
      </x:c>
      <x:c r="F2" s="14" t="str">
        <x:v>Plano CRM | Teste de segunda compra</x:v>
      </x:c>
      <x:c r="G2" s="14" t="str">
        <x:v>Plano CRM | Teste de segunda compra</x:v>
      </x:c>
      <x:c r="H2" s="14" t="str">
        <x:v>Plano CRM | Teste de segunda compra</x:v>
      </x:c>
    </x:row>
    <x:row r="3">
      <x:c r="A3" s="18" t="str">
        <x:v>Células amarelas são premissas editáveis; resultados são calculados por fórmulas.</x:v>
      </x:c>
      <x:c r="B3" s="18" t="str">
        <x:v>Células amarelas são premissas editáveis; resultados são calculados por fórmulas.</x:v>
      </x:c>
      <x:c r="C3" s="18" t="str">
        <x:v>Células amarelas são premissas editáveis; resultados são calculados por fórmulas.</x:v>
      </x:c>
      <x:c r="D3" s="18" t="str">
        <x:v>Células amarelas são premissas editáveis; resultados são calculados por fórmulas.</x:v>
      </x:c>
      <x:c r="E3" s="18" t="str">
        <x:v>Células amarelas são premissas editáveis; resultados são calculados por fórmulas.</x:v>
      </x:c>
      <x:c r="F3" s="18" t="str">
        <x:v>Células amarelas são premissas editáveis; resultados são calculados por fórmulas.</x:v>
      </x:c>
      <x:c r="G3" s="18" t="str">
        <x:v>Células amarelas são premissas editáveis; resultados são calculados por fórmulas.</x:v>
      </x:c>
      <x:c r="H3" s="18" t="str">
        <x:v>Células amarelas são premissas editáveis; resultados são calculados por fórmulas.</x:v>
      </x:c>
    </x:row>
    <x:row r="5">
      <x:c r="A5" s="116" t="str">
        <x:v>Premissa</x:v>
      </x:c>
      <x:c r="B5" s="116" t="str">
        <x:v>Valor</x:v>
      </x:c>
      <x:c r="D5" s="122" t="str">
        <x:v>Resultado estimado</x:v>
      </x:c>
      <x:c r="E5" s="122" t="str">
        <x:v>Valor</x:v>
      </x:c>
    </x:row>
    <x:row r="6">
      <x:c r="A6" t="str">
        <x:v>Segmento-alvo</x:v>
      </x:c>
      <x:c r="B6" t="str">
        <x:v>Recentes de alto valor</x:v>
      </x:c>
      <x:c r="D6" t="str">
        <x:v>Público tratado</x:v>
      </x:c>
      <x:c r="E6" s="119" t="n">
        <x:f>ROUND(B7*(1-B8),0)</x:f>
        <x:v>7838</x:v>
      </x:c>
    </x:row>
    <x:row r="7">
      <x:c r="A7" t="str">
        <x:v>Clientes elegíveis</x:v>
      </x:c>
      <x:c r="B7" s="119" t="n">
        <x:f>'Segmentos'!B4</x:f>
        <x:v>8709</x:v>
      </x:c>
      <x:c r="D7" t="str">
        <x:v>Pedidos sem campanha</x:v>
      </x:c>
      <x:c r="E7" s="119" t="n">
        <x:f>ROUND(E6*B9,0)</x:f>
        <x:v>235</x:v>
      </x:c>
    </x:row>
    <x:row r="8">
      <x:c r="A8" t="str">
        <x:v>Percentual de controle</x:v>
      </x:c>
      <x:c r="B8" s="118" t="n">
        <x:v>0.1</x:v>
      </x:c>
      <x:c r="D8" t="str">
        <x:v>Pedidos incrementais</x:v>
      </x:c>
      <x:c r="E8" s="119" t="n">
        <x:f>ROUND(E6*B9*B10,0)</x:f>
        <x:v>47</x:v>
      </x:c>
    </x:row>
    <x:row r="9">
      <x:c r="A9" t="str">
        <x:v>Conversão-base em 30 dias</x:v>
      </x:c>
      <x:c r="B9" s="118" t="n">
        <x:v>0.03</x:v>
      </x:c>
      <x:c r="D9" t="str">
        <x:v>GMV incremental</x:v>
      </x:c>
      <x:c r="E9" s="123" t="n">
        <x:f>ROUND(E8*B11,0)</x:f>
        <x:v>7526</x:v>
      </x:c>
    </x:row>
    <x:row r="10">
      <x:c r="A10" t="str">
        <x:v>Lift esperado da campanha</x:v>
      </x:c>
      <x:c r="B10" s="118" t="n">
        <x:v>0.2</x:v>
      </x:c>
      <x:c r="D10" t="str">
        <x:v>Conversão esperada tratada (%)</x:v>
      </x:c>
      <x:c r="E10" s="124" t="n">
        <x:f>ROUND(B9*(1+B10)*100,1)</x:f>
        <x:v>3.6</x:v>
      </x:c>
    </x:row>
    <x:row r="11">
      <x:c r="A11" t="str">
        <x:v>Ticket médio esperado</x:v>
      </x:c>
      <x:c r="B11" s="120" t="n">
        <x:f>ROUND('KPIs'!C5,2)</x:f>
        <x:v>160.12</x:v>
      </x:c>
    </x:row>
    <x:row r="13">
      <x:c r="A13" s="143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B13" s="144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C13" s="144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D13" s="144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E13" s="144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F13" s="144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G13" s="144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H13" s="145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</x:row>
    <x:row r="14">
      <x:c r="A14" s="146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B14" s="147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C14" s="147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D14" s="147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E14" s="147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F14" s="147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G14" s="147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H14" s="148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</x:row>
    <x:row r="15">
      <x:c r="A15" s="146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B15" s="147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C15" s="147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D15" s="147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E15" s="147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F15" s="147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G15" s="147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H15" s="148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</x:row>
    <x:row r="16">
      <x:c r="A16" s="146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B16" s="147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C16" s="147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D16" s="147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E16" s="147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F16" s="147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G16" s="147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H16" s="148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</x:row>
    <x:row r="17">
      <x:c r="A17" s="146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B17" s="147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C17" s="147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D17" s="147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E17" s="147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F17" s="147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G17" s="147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H17" s="148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</x:row>
    <x:row r="18">
      <x:c r="A18" s="149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B18" s="150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C18" s="150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D18" s="150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E18" s="150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F18" s="150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G18" s="150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  <x:c r="H18" s="151" t="str">
        <x:v>Desenho recomendado: amostra aleatória com 10% de controle, janela de 30 dias e exclusão de clientes com reclamação logística aberta. Acompanhar conversão, pedidos incrementais, GMV incremental, custo por pedido incremental e margem — quando o dado de margem estiver disponível. O resultado acima é um cenário, não uma previsão validada.</x:v>
      </x:c>
    </x:row>
  </x:sheetData>
  <x:mergeCells>
    <x:mergeCell ref="A1:H2"/>
    <x:mergeCell ref="A3:H3"/>
    <x:mergeCell ref="A13:H18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8" hidden="0" customWidth="1"/>
    <x:col min="3" max="3" width="48" hidden="0" customWidth="1"/>
  </x:cols>
  <x:sheetData>
    <x:row r="1">
      <x:c r="A1" s="14" t="str">
        <x:v>Dicionário e premissas</x:v>
      </x:c>
      <x:c r="B1" s="14" t="str">
        <x:v>Dicionário e premissas</x:v>
      </x:c>
      <x:c r="C1" s="14" t="str">
        <x:v>Dicionário e premissas</x:v>
      </x:c>
      <x:c r="D1" s="14" t="str">
        <x:v>Dicionário e premissas</x:v>
      </x:c>
      <x:c r="E1" s="14" t="str">
        <x:v>Dicionário e premissas</x:v>
      </x:c>
      <x:c r="F1" s="14" t="str">
        <x:v>Dicionário e premissas</x:v>
      </x:c>
    </x:row>
    <x:row r="2">
      <x:c r="A2" s="14" t="str">
        <x:v>Dicionário e premissas</x:v>
      </x:c>
      <x:c r="B2" s="14" t="str">
        <x:v>Dicionário e premissas</x:v>
      </x:c>
      <x:c r="C2" s="14" t="str">
        <x:v>Dicionário e premissas</x:v>
      </x:c>
      <x:c r="D2" s="14" t="str">
        <x:v>Dicionário e premissas</x:v>
      </x:c>
      <x:c r="E2" s="14" t="str">
        <x:v>Dicionário e premissas</x:v>
      </x:c>
      <x:c r="F2" s="14" t="str">
        <x:v>Dicionário e premissas</x:v>
      </x:c>
    </x:row>
    <x:row r="3">
      <x:c r="A3" s="18" t="str">
        <x:v>Definições usadas no case para garantir leitura consistente e auditável.</x:v>
      </x:c>
      <x:c r="B3" s="18" t="str">
        <x:v>Definições usadas no case para garantir leitura consistente e auditável.</x:v>
      </x:c>
      <x:c r="C3" s="18" t="str">
        <x:v>Definições usadas no case para garantir leitura consistente e auditável.</x:v>
      </x:c>
      <x:c r="D3" s="18" t="str">
        <x:v>Definições usadas no case para garantir leitura consistente e auditável.</x:v>
      </x:c>
      <x:c r="E3" s="18" t="str">
        <x:v>Definições usadas no case para garantir leitura consistente e auditável.</x:v>
      </x:c>
      <x:c r="F3" s="18" t="str">
        <x:v>Definições usadas no case para garantir leitura consistente e auditável.</x:v>
      </x:c>
    </x:row>
    <x:row r="5">
      <x:c r="A5" s="152" t="str">
        <x:v>Conceito</x:v>
      </x:c>
      <x:c r="B5" s="152" t="str">
        <x:v>Definição</x:v>
      </x:c>
      <x:c r="C5" s="152" t="str">
        <x:v>Decisão no case</x:v>
      </x:c>
    </x:row>
    <x:row r="6" ht="34" customHeight="1">
      <x:c r="A6" s="153" t="str">
        <x:v>GMV</x:v>
      </x:c>
      <x:c r="B6" s="153" t="str">
        <x:v>Soma do preço dos itens e do frete.</x:v>
      </x:c>
      <x:c r="C6" s="153" t="str">
        <x:v>Não é receita líquida nem comissão da Olist.</x:v>
      </x:c>
    </x:row>
    <x:row r="7" ht="34" customHeight="1">
      <x:c r="A7" s="153" t="str">
        <x:v>Pedido</x:v>
      </x:c>
      <x:c r="B7" s="153" t="str">
        <x:v>order_id único.</x:v>
      </x:c>
      <x:c r="C7" s="153" t="str">
        <x:v>Análises financeiras agregam itens antes de cruzar pagamentos.</x:v>
      </x:c>
    </x:row>
    <x:row r="8" ht="34" customHeight="1">
      <x:c r="A8" s="153" t="str">
        <x:v>Cliente</x:v>
      </x:c>
      <x:c r="B8" s="153" t="str">
        <x:v>customer_unique_id.</x:v>
      </x:c>
      <x:c r="C8" s="153" t="str">
        <x:v>customer_id identifica uma ocorrência do cliente em um pedido.</x:v>
      </x:c>
    </x:row>
    <x:row r="9" ht="34" customHeight="1">
      <x:c r="A9" s="153" t="str">
        <x:v>Período comparável</x:v>
      </x:c>
      <x:c r="B9" s="153" t="str">
        <x:v>Jan–ago/2018 versus jan–ago/2017.</x:v>
      </x:c>
      <x:c r="C9" s="153" t="str">
        <x:v>Evita comparar meses incompletos do fim da série.</x:v>
      </x:c>
    </x:row>
    <x:row r="10" ht="34" customHeight="1">
      <x:c r="A10" s="153" t="str">
        <x:v>Entrega no prazo</x:v>
      </x:c>
      <x:c r="B10" s="153" t="str">
        <x:v>Entrega ao cliente até a data estimada.</x:v>
      </x:c>
      <x:c r="C10" s="153" t="str">
        <x:v>Somente pedidos entregues com datas válidas.</x:v>
      </x:c>
    </x:row>
    <x:row r="11" ht="34" customHeight="1">
      <x:c r="A11" s="153" t="str">
        <x:v>Recorrência</x:v>
      </x:c>
      <x:c r="B11" s="153" t="str">
        <x:v>Cliente com dois ou mais pedidos entregues.</x:v>
      </x:c>
      <x:c r="C11" s="153" t="str">
        <x:v>Calculada no histórico disponível até 31/08/2018.</x:v>
      </x:c>
    </x:row>
    <x:row r="12" ht="34" customHeight="1">
      <x:c r="A12" s="153" t="str">
        <x:v>Coorte</x:v>
      </x:c>
      <x:c r="B12" s="153" t="str">
        <x:v>Mês do primeiro pedido entregue observado.</x:v>
      </x:c>
      <x:c r="C12" s="153" t="str">
        <x:v>Retenção mede nova compra em meses posteriores.</x:v>
      </x:c>
    </x:row>
    <x:row r="13" ht="34" customHeight="1">
      <x:c r="A13" s="153" t="str">
        <x:v>Nota</x:v>
      </x:c>
      <x:c r="B13" s="153" t="str">
        <x:v>Média das avaliações vinculadas ao pedido.</x:v>
      </x:c>
      <x:c r="C13" s="153" t="str">
        <x:v>Comentários ausentes não são tratados como avaliação negativa.</x:v>
      </x:c>
    </x:row>
    <x:row r="15">
      <x:c r="A15" s="122" t="str">
        <x:v>Fonte</x:v>
      </x:c>
      <x:c r="B15" s="122" t="str">
        <x:v>URL</x:v>
      </x:c>
    </x:row>
    <x:row r="16">
      <x:c r="A16" t="str">
        <x:v>Brazilian E-Commerce Public Dataset by Olist</x:v>
      </x:c>
      <x:c r="B16" t="str">
        <x:v>https://www.kaggle.com/datasets/olistbr/brazilian-ecommerce</x:v>
      </x:c>
    </x:row>
  </x:sheetData>
  <x:mergeCells>
    <x:mergeCell ref="A1:F2"/>
    <x:mergeCell ref="A3:F3"/>
  </x:mergeCells>
  <x:pageMargins left="0.7" right="0.7" top="0.75" bottom="0.75" header="0.3" footer="0.3"/>
</x:worksheet>
</file>